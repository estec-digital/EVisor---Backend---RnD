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dia/image1.png" ContentType="image/png"/>
  <Override PartName="/xl/media/image2.jpeg" ContentType="image/jpeg"/>
  <Override PartName="/xl/sharedStrings.xml" ContentType="application/vnd.openxmlformats-officedocument.spreadsheetml.sharedStrings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_rels/externalLink4.xml.rels" ContentType="application/vnd.openxmlformats-package.relationships+xml"/>
  <Override PartName="/xl/externalLinks/_rels/externalLink5.xml.rels" ContentType="application/vnd.openxmlformats-package.relationship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customXml/item1.xml" ContentType="application/xml"/>
  <Override PartName="/customXml/item2.xml" ContentType="application/xml"/>
  <Override PartName="/customXml/itemProps1.xml" ContentType="application/vnd.openxmlformats-officedocument.customXmlProperties+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3.xml" ContentType="application/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LNL" sheetId="1" state="visible" r:id="rId2"/>
  </sheets>
  <externalReferences>
    <externalReference r:id="rId3"/>
    <externalReference r:id="rId4"/>
  </externalReferences>
  <definedNames>
    <definedName function="false" hidden="false" localSheetId="0" name="_xlnm.Print_Area" vbProcedure="false">QLNL!$A$1:$O$34</definedName>
    <definedName function="false" hidden="false" localSheetId="0" name="_xlnm.Print_Titles" vbProcedure="false">QLNL!$7:$8</definedName>
    <definedName function="false" hidden="false" name="a" vbProcedure="false">'[1]thang 05-1'!#ref!</definedName>
    <definedName function="false" hidden="false" name="aa" vbProcedure="false">#REF!</definedName>
    <definedName function="false" hidden="false" name="aaa" vbProcedure="false">'[2]quo-detail'!#ref!</definedName>
    <definedName function="false" hidden="false" name="aaaaaaaaaaa" vbProcedure="false">'[3]bao-gia'!#ref!</definedName>
    <definedName function="false" hidden="false" name="abc" vbProcedure="false">#REF!</definedName>
    <definedName function="false" hidden="false" name="abcd" vbProcedure="false">#REF!</definedName>
    <definedName function="false" hidden="false" name="adad" vbProcedure="false">'[1]thang 05-1'!#ref!</definedName>
    <definedName function="false" hidden="false" name="asadsf" vbProcedure="false">#REF!</definedName>
    <definedName function="false" hidden="false" name="asd" vbProcedure="false">#REF!</definedName>
    <definedName function="false" hidden="false" name="assd" vbProcedure="false">'[2]quo-detail'!#ref!</definedName>
    <definedName function="false" hidden="false" name="B" vbProcedure="false">#N/A</definedName>
    <definedName function="false" hidden="false" name="d" vbProcedure="false">'[2]quo-detail'!#ref!</definedName>
    <definedName function="false" hidden="false" name="Diary" vbProcedure="false">'[3]bao-gia'!#ref!</definedName>
    <definedName function="false" hidden="false" name="Excel_BuiltIn_Print_Area" vbProcedure="false">NA()</definedName>
    <definedName function="false" hidden="false" name="ff" vbProcedure="false">'[3]bao-gia'!#ref!</definedName>
    <definedName function="false" hidden="false" name="g" vbProcedure="false">'[1]thang 05-1'!#ref!</definedName>
    <definedName function="false" hidden="false" name="h" vbProcedure="false">'[3]bao-gia'!#ref!</definedName>
    <definedName function="false" hidden="false" name="HEÄSOÅ" vbProcedure="false">'[3]bao-gia'!#ref!</definedName>
    <definedName function="false" hidden="false" name="HEÄSOÅ3" vbProcedure="false">'[3]bao-gia'!#ref!</definedName>
    <definedName function="false" hidden="false" name="hhhhhh" vbProcedure="false">'[2]quo-detail'!#ref!</definedName>
    <definedName function="false" hidden="false" name="hy" vbProcedure="false">'[3]bao-gia'!#ref!</definedName>
    <definedName function="false" hidden="false" name="imp" vbProcedure="false">'[2]quo-detail'!#ref!</definedName>
    <definedName function="false" hidden="false" name="Interval" vbProcedure="false">'[4]12-month sales forecast'!#ref!</definedName>
    <definedName function="false" hidden="false" name="j" vbProcedure="false">'[4]12-month sales forecast'!#ref!</definedName>
    <definedName function="false" hidden="false" name="k" vbProcedure="false">'[5]maintenance work order'!#ref!</definedName>
    <definedName function="false" hidden="false" name="l" vbProcedure="false">'[2]quo-detail'!#ref!</definedName>
    <definedName function="false" hidden="false" name="ll" vbProcedure="false">'[1]thang 05-1'!#ref!</definedName>
    <definedName function="false" hidden="false" name="pp" vbProcedure="false">'[3]bao-gia'!#ref!</definedName>
    <definedName function="false" hidden="false" name="qqqqqqqqqqqqqqq" vbProcedure="false">'[2]quo-detail'!#ref!</definedName>
    <definedName function="false" hidden="false" name="README" vbProcedure="false">[4]BILAL2!$A$1</definedName>
    <definedName function="false" hidden="false" name="SAO" vbProcedure="false">'[3]bao-gia'!#ref!</definedName>
    <definedName function="false" hidden="false" name="ScheduleStart" vbProcedure="false">'[4]12-month sales forecast'!#ref!</definedName>
    <definedName function="false" hidden="false" name="sdd" vbProcedure="false">'[1]thang 05-1'!#ref!</definedName>
    <definedName function="false" hidden="false" name="Status" vbProcedure="false">'[5]Document list'!$AL$3:$AL$5</definedName>
    <definedName function="false" hidden="false" name="Type" vbProcedure="false">'[5]maintenance work order'!#ref!</definedName>
    <definedName function="false" hidden="false" name="uy_h" vbProcedure="false">'[1]thang 05-1'!#ref!</definedName>
    <definedName function="false" hidden="false" name="_Fill" vbProcedure="false">#REF!</definedName>
    <definedName function="false" hidden="false" name="_WC2003" vbProcedure="false">#REF!</definedName>
    <definedName function="false" hidden="false" name="_WC2007" vbProcedure="false">#REF!</definedName>
    <definedName function="false" hidden="false" name="__WC2003" vbProcedure="false">#REF!</definedName>
    <definedName function="false" hidden="false" name="__WC2007" vbProcedure="false">#REF!</definedName>
    <definedName function="false" hidden="false" name="ư" vbProcedure="false">'[2]quo-detail'!#ref!</definedName>
    <definedName function="false" hidden="false" localSheetId="0" name="a" vbProcedure="false">QLNL!$A:$A</definedName>
    <definedName function="false" hidden="false" localSheetId="0" name="aa" vbProcedure="false">#REF!</definedName>
    <definedName function="false" hidden="false" localSheetId="0" name="aaa" vbProcedure="false">'[2]quo-detail'!#ref!</definedName>
    <definedName function="false" hidden="false" localSheetId="0" name="aaaaaaaaaaa" vbProcedure="false">'[3]bao-gia'!#ref!</definedName>
    <definedName function="false" hidden="false" localSheetId="0" name="abc" vbProcedure="false">#REF!</definedName>
    <definedName function="false" hidden="false" localSheetId="0" name="abcd" vbProcedure="false">#REF!</definedName>
    <definedName function="false" hidden="false" localSheetId="0" name="adad" vbProcedure="false">'[1]thang 05-1'!#ref!</definedName>
    <definedName function="false" hidden="false" localSheetId="0" name="asadsf" vbProcedure="false">#REF!</definedName>
    <definedName function="false" hidden="false" localSheetId="0" name="asd" vbProcedure="false">#REF!</definedName>
    <definedName function="false" hidden="false" localSheetId="0" name="assd" vbProcedure="false">'[2]quo-detail'!#ref!</definedName>
    <definedName function="false" hidden="false" localSheetId="0" name="d" vbProcedure="false">'[2]quo-detail'!#ref!</definedName>
    <definedName function="false" hidden="false" localSheetId="0" name="Diary" vbProcedure="false">'[3]bao-gia'!#ref!</definedName>
    <definedName function="false" hidden="false" localSheetId="0" name="ff" vbProcedure="false">'[3]bao-gia'!#ref!</definedName>
    <definedName function="false" hidden="false" localSheetId="0" name="g" vbProcedure="false">'[1]thang 05-1'!#ref!</definedName>
    <definedName function="false" hidden="false" localSheetId="0" name="h" vbProcedure="false">'[3]bao-gia'!#ref!</definedName>
    <definedName function="false" hidden="false" localSheetId="0" name="HEÄSOÅ" vbProcedure="false">'[3]bao-gia'!#ref!</definedName>
    <definedName function="false" hidden="false" localSheetId="0" name="HEÄSOÅ3" vbProcedure="false">'[3]bao-gia'!#ref!</definedName>
    <definedName function="false" hidden="false" localSheetId="0" name="hhhhhh" vbProcedure="false">'[2]quo-detail'!#ref!</definedName>
    <definedName function="false" hidden="false" localSheetId="0" name="hy" vbProcedure="false">'[3]bao-gia'!#ref!</definedName>
    <definedName function="false" hidden="false" localSheetId="0" name="imp" vbProcedure="false">'[2]quo-detail'!#ref!</definedName>
    <definedName function="false" hidden="false" localSheetId="0" name="Interval" vbProcedure="false">'[4]12-month sales forecast'!#ref!</definedName>
    <definedName function="false" hidden="false" localSheetId="0" name="j" vbProcedure="false">'[4]12-month sales forecast'!#ref!</definedName>
    <definedName function="false" hidden="false" localSheetId="0" name="k" vbProcedure="false">'[5]maintenance work order'!#ref!</definedName>
    <definedName function="false" hidden="false" localSheetId="0" name="l" vbProcedure="false">'[2]quo-detail'!#ref!</definedName>
    <definedName function="false" hidden="false" localSheetId="0" name="ll" vbProcedure="false">'[1]thang 05-1'!#ref!</definedName>
    <definedName function="false" hidden="false" localSheetId="0" name="pp" vbProcedure="false">'[3]bao-gia'!#ref!</definedName>
    <definedName function="false" hidden="false" localSheetId="0" name="qqqqqqqqqqqqqqq" vbProcedure="false">'[2]quo-detail'!#ref!</definedName>
    <definedName function="false" hidden="false" localSheetId="0" name="SAO" vbProcedure="false">'[3]bao-gia'!#ref!</definedName>
    <definedName function="false" hidden="false" localSheetId="0" name="ScheduleStart" vbProcedure="false">'[4]12-month sales forecast'!#ref!</definedName>
    <definedName function="false" hidden="false" localSheetId="0" name="sdd" vbProcedure="false">'[1]thang 05-1'!#ref!</definedName>
    <definedName function="false" hidden="false" localSheetId="0" name="Type" vbProcedure="false">'[5]maintenance work order'!#ref!</definedName>
    <definedName function="false" hidden="false" localSheetId="0" name="uy_h" vbProcedure="false">'[1]thang 05-1'!#ref!</definedName>
    <definedName function="false" hidden="false" localSheetId="0" name="_Fill" vbProcedure="false">#REF!</definedName>
    <definedName function="false" hidden="false" localSheetId="0" name="_WC2003" vbProcedure="false">#REF!</definedName>
    <definedName function="false" hidden="false" localSheetId="0" name="_WC2007" vbProcedure="false">#REF!</definedName>
    <definedName function="false" hidden="false" localSheetId="0" name="_xlnm.Print_Titles" vbProcedure="false">QLNL!$7:$8</definedName>
    <definedName function="false" hidden="false" localSheetId="0" name="_xlnm._FilterDatabase" vbProcedure="false">QLNL!$A$8:$W$34</definedName>
    <definedName function="false" hidden="false" localSheetId="0" name="__WC2003" vbProcedure="false">#REF!</definedName>
    <definedName function="false" hidden="false" localSheetId="0" name="__WC2007" vbProcedure="false">#REF!</definedName>
    <definedName function="false" hidden="false" localSheetId="0" name="ư" vbProcedure="false">'[2]quo-detail'!#ref!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<sst xmlns="http://schemas.openxmlformats.org/spreadsheetml/2006/main" count="149" uniqueCount="96">
  <si>
    <t xml:space="preserve">    CONSTRUCTION PLANNING
          KẾ HOẠCH THI CÔNG</t>
  </si>
  <si>
    <t xml:space="preserve">Mã dự án:</t>
  </si>
  <si>
    <t xml:space="preserve">ES192-5-A2302</t>
  </si>
  <si>
    <t xml:space="preserve">Mã hợp đồng:</t>
  </si>
  <si>
    <t xml:space="preserve">HD01</t>
  </si>
  <si>
    <t xml:space="preserve">Ngày:</t>
  </si>
  <si>
    <t xml:space="preserve">22/02/2025</t>
  </si>
  <si>
    <t xml:space="preserve">PROJECT NAME/ TÊN DỰ ÁN: </t>
  </si>
  <si>
    <t xml:space="preserve">CUNG CẤP VÀ THI CÔNG LẮP ĐẶT HỆ THỐNG ĐO ĐẾM ĐIỆN NĂNG</t>
  </si>
  <si>
    <t xml:space="preserve">Tên tài liệu:</t>
  </si>
  <si>
    <t xml:space="preserve">Construction Planning</t>
  </si>
  <si>
    <t xml:space="preserve">PROJECT CODE/ MÃ DỰ ÁN: </t>
  </si>
  <si>
    <t xml:space="preserve">NO./ STT</t>
  </si>
  <si>
    <t xml:space="preserve">DESCRIPTION/ MÔ TẢ CÔNG VIỆC</t>
  </si>
  <si>
    <t xml:space="preserve">PRIORITY/ 
MỨC ĐỘ ƯU TIÊN</t>
  </si>
  <si>
    <t xml:space="preserve">ASSIGNEE/ 
NHÂN SỰ THỰC HIỆN</t>
  </si>
  <si>
    <t xml:space="preserve">
SHIFT/ 
CA
</t>
  </si>
  <si>
    <t xml:space="preserve">PLAN/ KẾ HOẠCH</t>
  </si>
  <si>
    <t xml:space="preserve">Nơi làm việc</t>
  </si>
  <si>
    <t xml:space="preserve">QTY/ SL</t>
  </si>
  <si>
    <t xml:space="preserve">UNIT/ 
ĐƠN VỊ</t>
  </si>
  <si>
    <t xml:space="preserve">
ACTUAL (%)/
% CÔNG VIỆC ĐÃ HOÀN THÀNH
</t>
  </si>
  <si>
    <t xml:space="preserve">NEXT WEEK
W50</t>
  </si>
  <si>
    <t xml:space="preserve">PICTURES/ HÌNH ẢNH</t>
  </si>
  <si>
    <t xml:space="preserve">REMARK/ GHI CHÚ</t>
  </si>
  <si>
    <t xml:space="preserve">STATUS/ 
TÌNH TRẠNG</t>
  </si>
  <si>
    <t xml:space="preserve">General/ Kế hoạch chung</t>
  </si>
  <si>
    <t xml:space="preserve">Từ</t>
  </si>
  <si>
    <t xml:space="preserve">Đến</t>
  </si>
  <si>
    <t xml:space="preserve">giờ</t>
  </si>
  <si>
    <t xml:space="preserve">A</t>
  </si>
  <si>
    <t xml:space="preserve">Thiết kế phần cứng</t>
  </si>
  <si>
    <t xml:space="preserve">A1</t>
  </si>
  <si>
    <t xml:space="preserve">Thiết kế cấu hình hệ thống</t>
  </si>
  <si>
    <t xml:space="preserve">Trung Bình</t>
  </si>
  <si>
    <t xml:space="preserve">A2</t>
  </si>
  <si>
    <t xml:space="preserve">Thiết kế tuyến cáp quang</t>
  </si>
  <si>
    <t xml:space="preserve">A2.1</t>
  </si>
  <si>
    <t xml:space="preserve">Làm việc với anh Tây để xác định lại tuyến cáp quang</t>
  </si>
  <si>
    <t xml:space="preserve">Nguyễn Song Hào,Lê Hoàng Phúc</t>
  </si>
  <si>
    <t xml:space="preserve">V</t>
  </si>
  <si>
    <t xml:space="preserve">Time tinh SL cho 1 nguoi</t>
  </si>
  <si>
    <t xml:space="preserve">A2.2</t>
  </si>
  <si>
    <t xml:space="preserve">Làm việc với anh Tây, Thầu phụ để xác định chiều dài cáp quang</t>
  </si>
  <si>
    <t xml:space="preserve">S</t>
  </si>
  <si>
    <t xml:space="preserve">A3</t>
  </si>
  <si>
    <t xml:space="preserve">Thiết kế wiring cáp tín hiệu</t>
  </si>
  <si>
    <t xml:space="preserve">A3.1</t>
  </si>
  <si>
    <t xml:space="preserve">Khảo sát xác định phương án lắp đặt CT</t>
  </si>
  <si>
    <t xml:space="preserve">Lê Vĩnh Hà,Lê Hoàng,Nguyễn Văn Hoàng Đông</t>
  </si>
  <si>
    <t xml:space="preserve">A3.2</t>
  </si>
  <si>
    <t xml:space="preserve">Khảo sát xác định phương án đi dây tín hiệu dòng điện, điện áp</t>
  </si>
  <si>
    <t xml:space="preserve">A3.3</t>
  </si>
  <si>
    <t xml:space="preserve">Khảo sát xác định phương án đi dây RS485</t>
  </si>
  <si>
    <t xml:space="preserve">Cao</t>
  </si>
  <si>
    <t xml:space="preserve">B</t>
  </si>
  <si>
    <t xml:space="preserve">Mua hàng</t>
  </si>
  <si>
    <t xml:space="preserve">B1</t>
  </si>
  <si>
    <t xml:space="preserve">Lên BOQ 1 - thiết bị Moxa để đáp ứng tiến độ</t>
  </si>
  <si>
    <t xml:space="preserve">Lê Vĩnh Hà</t>
  </si>
  <si>
    <t xml:space="preserve">B2</t>
  </si>
  <si>
    <t xml:space="preserve">Lên BOQ 2 - thiết bị phần cứng, phần mềm đã có mã sales bóc sẵn</t>
  </si>
  <si>
    <t xml:space="preserve">Nguyễn Văn Hoàng Đông</t>
  </si>
  <si>
    <t xml:space="preserve">B3</t>
  </si>
  <si>
    <t xml:space="preserve">Lên BOQ 3 </t>
  </si>
  <si>
    <t xml:space="preserve">Nguyễn Văn B</t>
  </si>
  <si>
    <t xml:space="preserve">14/3/2025</t>
  </si>
  <si>
    <t xml:space="preserve">19/3/2025</t>
  </si>
  <si>
    <t xml:space="preserve">Lên BOQ tủ rack, tủ trung gian, CT</t>
  </si>
  <si>
    <t xml:space="preserve">C</t>
  </si>
  <si>
    <t xml:space="preserve">Tích hợp hệ thống tại xưởng</t>
  </si>
  <si>
    <t xml:space="preserve">C1</t>
  </si>
  <si>
    <t xml:space="preserve">Tích hợp tủ trung gian</t>
  </si>
  <si>
    <t xml:space="preserve">Lê Vĩnh Hà,Lê Hoàng</t>
  </si>
  <si>
    <t xml:space="preserve">C2</t>
  </si>
  <si>
    <t xml:space="preserve">Tích hợp tủ rack</t>
  </si>
  <si>
    <t xml:space="preserve">C3</t>
  </si>
  <si>
    <t xml:space="preserve">FAT</t>
  </si>
  <si>
    <t xml:space="preserve">D</t>
  </si>
  <si>
    <t xml:space="preserve">Lắp đặt tại công trường</t>
  </si>
  <si>
    <t xml:space="preserve">D1</t>
  </si>
  <si>
    <t xml:space="preserve">Thi công kéo cáp quang từ các trạm về phòng trung tâm</t>
  </si>
  <si>
    <t xml:space="preserve">D2</t>
  </si>
  <si>
    <t xml:space="preserve">Lắp đặt CT, đồng hồ, đấu nối dây tín hiệu điện áp, dòng vào đồng hồ</t>
  </si>
  <si>
    <t xml:space="preserve">D3</t>
  </si>
  <si>
    <t xml:space="preserve">Kéo dây cáp Ethernet từ tủ trung gian SignatureShow về phòng trung tâm</t>
  </si>
  <si>
    <t xml:space="preserve">D4</t>
  </si>
  <si>
    <t xml:space="preserve">Lắp đặt ODF, tủ trung gian tại các trạm</t>
  </si>
  <si>
    <t xml:space="preserve">D5</t>
  </si>
  <si>
    <t xml:space="preserve">Lắp đặt tủ rack, máy tính</t>
  </si>
  <si>
    <t xml:space="preserve">D6</t>
  </si>
  <si>
    <t xml:space="preserve">Hàn cáp quang</t>
  </si>
  <si>
    <t xml:space="preserve">D7</t>
  </si>
  <si>
    <t xml:space="preserve">Đấu nối hoàn chỉnh hệ thống</t>
  </si>
  <si>
    <t xml:space="preserve">Tổng</t>
  </si>
  <si>
    <t xml:space="preserve">Giờ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</si>
</sst>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(* #,##0.00_);_(* \(#,##0.00\);_(* \-??_);_(@_)"/>
    <numFmt numFmtId="166" formatCode="[$-809]DD/MM/YYYY"/>
    <numFmt numFmtId="167" formatCode="0"/>
    <numFmt numFmtId="168" formatCode="0%"/>
    <numFmt numFmtId="169" formatCode="General"/>
    <numFmt numFmtId="170" formatCode="D/M/YYYY"/>
  </numFmts>
  <fonts count="2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1"/>
      <name val="Arial"/>
      <family val="2"/>
      <charset val="1"/>
    </font>
    <font>
      <b val="true"/>
      <sz val="26"/>
      <name val="Arial"/>
      <family val="2"/>
      <charset val="1"/>
    </font>
    <font>
      <b val="true"/>
      <sz val="20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b val="true"/>
      <sz val="14"/>
      <color rgb="FF000000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1"/>
      <color rgb="FF080808"/>
      <name val="Arial"/>
      <family val="2"/>
      <charset val="1"/>
    </font>
    <font>
      <b val="true"/>
      <sz val="10"/>
      <color rgb="FF000000"/>
      <name val="Century Gothic"/>
      <family val="2"/>
      <charset val="1"/>
    </font>
    <font>
      <sz val="10"/>
      <color rgb="FF000000"/>
      <name val="Century Gothic"/>
      <family val="2"/>
      <charset val="1"/>
    </font>
    <font>
      <sz val="11"/>
      <color rgb="FF000000"/>
      <name val="Arial"/>
      <family val="2"/>
      <charset val="1"/>
    </font>
    <font>
      <sz val="9"/>
      <color rgb="FFFFFFFF"/>
      <name val="Century Gothic"/>
      <family val="2"/>
      <charset val="1"/>
    </font>
    <font>
      <sz val="9"/>
      <color rgb="FF000000"/>
      <name val="Century Gothic"/>
      <family val="2"/>
      <charset val="1"/>
    </font>
    <font>
      <b val="true"/>
      <sz val="14"/>
      <name val="Arial"/>
      <family val="2"/>
      <charset val="1"/>
    </font>
    <font>
      <sz val="14"/>
      <color rgb="FFFFFFFF"/>
      <name val="Century Gothic"/>
      <family val="2"/>
      <charset val="1"/>
    </font>
    <font>
      <sz val="14"/>
      <color rgb="FF000000"/>
      <name val="Century Gothic"/>
      <family val="2"/>
      <charset val="1"/>
    </font>
    <font>
      <sz val="14"/>
      <name val="Arial"/>
      <family val="2"/>
      <charset val="1"/>
    </font>
    <font>
      <b val="true"/>
      <sz val="1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D966"/>
        <bgColor rgb="FFFFFF99"/>
      </patternFill>
    </fill>
    <fill>
      <patternFill patternType="solid">
        <fgColor rgb="FFD9D9D9"/>
        <bgColor rgb="FFBFBFBF"/>
      </patternFill>
    </fill>
    <fill>
      <patternFill patternType="solid">
        <fgColor rgb="FFFF0000"/>
        <bgColor rgb="FF993300"/>
      </patternFill>
    </fill>
    <fill>
      <patternFill patternType="solid">
        <fgColor rgb="FFFFFFFF"/>
        <bgColor rgb="FFFFFFCC"/>
      </patternFill>
    </fill>
    <fill>
      <patternFill patternType="solid">
        <fgColor rgb="FF7F7F7F"/>
        <bgColor rgb="FF969696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/>
      <diagonal/>
    </border>
    <border diagonalUp="false" diagonalDown="false">
      <left/>
      <right/>
      <top style="thin">
        <color rgb="FFBFBFBF"/>
      </top>
      <bottom/>
      <diagonal/>
    </border>
    <border diagonalUp="false" diagonalDown="false">
      <left/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/>
      <bottom/>
      <diagonal/>
    </border>
    <border diagonalUp="false" diagonalDown="false"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 diagonalUp="false" diagonalDown="false">
      <left style="thin">
        <color rgb="FFBFBFBF"/>
      </left>
      <right/>
      <top/>
      <bottom style="thin">
        <color rgb="FFBFBFBF"/>
      </bottom>
      <diagonal/>
    </border>
  </borders>
  <cellStyleXfs count="3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7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27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27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27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27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2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27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27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27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0" xfId="27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27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0" xfId="27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2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2" xfId="2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5" xfId="2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4" xfId="2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4" xfId="27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3" borderId="4" xfId="2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3" borderId="6" xfId="2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3" borderId="6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1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27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3" borderId="4" xfId="2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4" xfId="28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3" xfId="2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6" xfId="2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4" xfId="2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3" borderId="6" xfId="2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3" borderId="0" xfId="27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1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3" borderId="6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3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3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0" xfId="2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2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2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4" xfId="28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" xfId="2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27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12" fillId="0" borderId="4" xfId="28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0" fontId="12" fillId="0" borderId="4" xfId="2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4" xfId="2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6" fillId="0" borderId="6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6" fillId="0" borderId="4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8" xfId="27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4" xfId="2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4" xfId="28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6" fillId="0" borderId="4" xfId="28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0" fontId="6" fillId="0" borderId="4" xfId="2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9" xfId="27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4" xfId="2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3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27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6" fillId="0" borderId="5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8" xfId="27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3" borderId="4" xfId="2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0" xfId="2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2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4" xfId="2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3" borderId="0" xfId="2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2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6" fillId="0" borderId="0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5" borderId="3" xfId="2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4" xfId="2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5" borderId="6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5" borderId="6" xfId="27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_x0004_" xfId="20"/>
    <cellStyle name="Comma 3" xfId="21"/>
    <cellStyle name="Normal 2" xfId="22"/>
    <cellStyle name="Normal 2 4" xfId="23"/>
    <cellStyle name="Normal 2 4 2" xfId="24"/>
    <cellStyle name="Normal 2 4 3" xfId="25"/>
    <cellStyle name="Normal 24 2" xfId="26"/>
    <cellStyle name="Normal 3" xfId="27"/>
    <cellStyle name="Normal 4" xfId="28"/>
    <cellStyle name="Normal 4 2" xfId="29"/>
    <cellStyle name="Normal 5" xfId="30"/>
    <cellStyle name="Normal 6" xfId="31"/>
    <cellStyle name="Normal 6 2" xfId="3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80808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externalLink" Target="externalLinks/externalLink4.xml"/><Relationship Id="rId4" Type="http://schemas.openxmlformats.org/officeDocument/2006/relationships/externalLink" Target="externalLinks/externalLink5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1</xdr:row>
      <xdr:rowOff>76320</xdr:rowOff>
    </xdr:from>
    <xdr:to>
      <xdr:col>1</xdr:col>
      <xdr:colOff>1054800</xdr:colOff>
      <xdr:row>3</xdr:row>
      <xdr:rowOff>138600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0" y="257040"/>
          <a:ext cx="1867320" cy="72900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0</xdr:col>
      <xdr:colOff>118800</xdr:colOff>
      <xdr:row>0</xdr:row>
      <xdr:rowOff>114840</xdr:rowOff>
    </xdr:from>
    <xdr:to>
      <xdr:col>1</xdr:col>
      <xdr:colOff>1716840</xdr:colOff>
      <xdr:row>4</xdr:row>
      <xdr:rowOff>189720</xdr:rowOff>
    </xdr:to>
    <xdr:pic>
      <xdr:nvPicPr>
        <xdr:cNvPr id="1" name="Picture 2" descr=""/>
        <xdr:cNvPicPr/>
      </xdr:nvPicPr>
      <xdr:blipFill>
        <a:blip r:embed="rId2"/>
        <a:stretch/>
      </xdr:blipFill>
      <xdr:spPr>
        <a:xfrm>
          <a:off x="118800" y="114840"/>
          <a:ext cx="2410560" cy="1198800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4.xml.rels><?xml version="1.0" encoding="UTF-8"?>
<Relationships xmlns="http://schemas.openxmlformats.org/package/2006/relationships"><Relationship Id="rId1" Type="http://schemas.openxmlformats.org/officeDocument/2006/relationships/externalLinkPath" Target="file:///C:/temp/Temporary%20Internet%20Files/Content.IE5/RZMWUA9X/PROJECTS/WINTEMP/WINDOWS/BILAL2.XLM" TargetMode="External"/>
</Relationships>
</file>

<file path=xl/externalLinks/_rels/externalLink5.xml.rels><?xml version="1.0" encoding="UTF-8"?>
<Relationships xmlns="http://schemas.openxmlformats.org/package/2006/relationships"><Relationship Id="rId1" Type="http://schemas.openxmlformats.org/officeDocument/2006/relationships/externalLinkPath" Target="https://estecvnltd.sharepoint.com/Project/Project%202020/1.%20ES16-A12001/4.%20Engineering-Ky%20thuat/1.%20Technical%20documents%20-Tai%20lieu%20ky%20thuat/ES16-A2001-GEN-LIS-01-Master%20Document%20List-RC1.0.xlsx" TargetMode="External"/>
</Relationships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BILAL2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Coversheet"/>
      <sheetName val="Revision History"/>
      <sheetName val="Note"/>
      <sheetName val="Document list"/>
    </sheetNames>
    <sheetDataSet>
      <sheetData sheetId="0"/>
      <sheetData sheetId="1"/>
      <sheetData sheetId="2"/>
      <sheetData sheetId="3"/>
    </sheetDataSet>
  </externalBook>
</externalLink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AI42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85" workbookViewId="0">
      <pane xSplit="0" ySplit="8" topLeftCell="A18" activePane="bottomLeft" state="frozen"/>
      <selection pane="topLeft" activeCell="A1" activeCellId="0" sqref="A1"/>
      <selection pane="bottomLeft" activeCell="H22" activeCellId="0" sqref="H22"/>
    </sheetView>
  </sheetViews>
  <sheetFormatPr defaultRowHeight="14.25" zeroHeight="false" outlineLevelRow="2" outlineLevelCol="0"/>
  <cols>
    <col collapsed="false" customWidth="true" hidden="false" outlineLevel="0" max="1" min="1" style="1" width="10.5"/>
    <col collapsed="false" customWidth="true" hidden="false" outlineLevel="0" max="2" min="2" style="1" width="31.89"/>
    <col collapsed="false" customWidth="true" hidden="false" outlineLevel="0" max="4" min="3" style="1" width="10.5"/>
    <col collapsed="false" customWidth="true" hidden="false" outlineLevel="0" max="5" min="5" style="2" width="10.5"/>
    <col collapsed="false" customWidth="true" hidden="false" outlineLevel="0" max="7" min="6" style="1" width="10.5"/>
    <col collapsed="false" customWidth="true" hidden="false" outlineLevel="0" max="8" min="8" style="1" width="12.46"/>
    <col collapsed="false" customWidth="true" hidden="false" outlineLevel="0" max="9" min="9" style="1" width="5.28"/>
    <col collapsed="false" customWidth="true" hidden="false" outlineLevel="0" max="11" min="10" style="1" width="10.5"/>
    <col collapsed="false" customWidth="true" hidden="false" outlineLevel="0" max="12" min="12" style="1" width="12.89"/>
    <col collapsed="false" customWidth="true" hidden="false" outlineLevel="0" max="13" min="13" style="1" width="19.36"/>
    <col collapsed="false" customWidth="true" hidden="false" outlineLevel="0" max="14" min="14" style="1" width="10.5"/>
    <col collapsed="false" customWidth="true" hidden="false" outlineLevel="0" max="15" min="15" style="1" width="2.19"/>
    <col collapsed="false" customWidth="true" hidden="false" outlineLevel="0" max="16" min="16" style="3" width="98.32"/>
    <col collapsed="false" customWidth="true" hidden="false" outlineLevel="0" max="19" min="17" style="3" width="10.5"/>
    <col collapsed="false" customWidth="true" hidden="false" outlineLevel="0" max="20" min="20" style="3" width="8.94"/>
    <col collapsed="false" customWidth="true" hidden="false" outlineLevel="0" max="28" min="21" style="3" width="10.5"/>
    <col collapsed="false" customWidth="true" hidden="false" outlineLevel="0" max="30" min="29" style="4" width="10.5"/>
    <col collapsed="false" customWidth="true" hidden="false" outlineLevel="0" max="1025" min="31" style="3" width="10.5"/>
  </cols>
  <sheetData>
    <row r="1" customFormat="false" ht="14.25" hidden="false" customHeight="true" outlineLevel="0" collapsed="false">
      <c r="C1" s="5" t="s">
        <v>0</v>
      </c>
      <c r="D1" s="5"/>
      <c r="E1" s="5"/>
      <c r="F1" s="5"/>
      <c r="G1" s="5"/>
      <c r="H1" s="5"/>
      <c r="I1" s="5"/>
      <c r="J1" s="5"/>
      <c r="K1" s="5"/>
      <c r="L1" s="6"/>
      <c r="M1" s="3"/>
      <c r="N1" s="3"/>
      <c r="O1" s="3"/>
      <c r="P1" s="3" t="str">
        <f aca="true">CELL("filename")</f>
        <v>'file:///F:/E-Visor/EVisor---Backend---RnD/minio/minio_data/POD/TimeTracker/Input/Form mau 5 themnhansu duan.xlsx'#$QLNL</v>
      </c>
    </row>
    <row r="2" customFormat="false" ht="26.25" hidden="false" customHeight="true" outlineLevel="0" collapsed="false">
      <c r="A2" s="7"/>
      <c r="B2" s="7"/>
      <c r="C2" s="5"/>
      <c r="D2" s="5"/>
      <c r="E2" s="5"/>
      <c r="F2" s="5"/>
      <c r="G2" s="5"/>
      <c r="H2" s="5"/>
      <c r="I2" s="5"/>
      <c r="J2" s="5"/>
      <c r="K2" s="5"/>
      <c r="L2" s="8" t="s">
        <v>1</v>
      </c>
      <c r="M2" s="8" t="s">
        <v>2</v>
      </c>
      <c r="N2" s="8"/>
      <c r="O2" s="3"/>
      <c r="P2" s="3" t="str">
        <f aca="false">MID(P1,92,11)</f>
        <v>5 themnhans</v>
      </c>
    </row>
    <row r="3" customFormat="false" ht="26.25" hidden="false" customHeight="true" outlineLevel="0" collapsed="false">
      <c r="A3" s="7"/>
      <c r="B3" s="7"/>
      <c r="C3" s="5"/>
      <c r="D3" s="5"/>
      <c r="E3" s="5"/>
      <c r="F3" s="5"/>
      <c r="G3" s="5"/>
      <c r="H3" s="5"/>
      <c r="I3" s="5"/>
      <c r="J3" s="5"/>
      <c r="K3" s="5"/>
      <c r="L3" s="8" t="s">
        <v>3</v>
      </c>
      <c r="M3" s="8" t="s">
        <v>4</v>
      </c>
      <c r="N3" s="8"/>
      <c r="O3" s="9"/>
      <c r="P3" s="3" t="str">
        <f aca="false">MID(P2,142,9)</f>
        <v/>
      </c>
    </row>
    <row r="4" customFormat="false" ht="21.75" hidden="false" customHeight="true" outlineLevel="0" collapsed="false">
      <c r="A4" s="10"/>
      <c r="B4" s="10"/>
      <c r="C4" s="11"/>
      <c r="D4" s="11"/>
      <c r="E4" s="11"/>
      <c r="F4" s="11"/>
      <c r="G4" s="11"/>
      <c r="H4" s="11"/>
      <c r="I4" s="11"/>
      <c r="J4" s="11"/>
      <c r="K4" s="11"/>
      <c r="L4" s="8" t="s">
        <v>5</v>
      </c>
      <c r="M4" s="12" t="s">
        <v>6</v>
      </c>
      <c r="N4" s="12"/>
      <c r="O4" s="13"/>
      <c r="P4" s="14"/>
      <c r="Q4" s="14"/>
      <c r="R4" s="14"/>
    </row>
    <row r="5" customFormat="false" ht="39.75" hidden="false" customHeight="true" outlineLevel="0" collapsed="false">
      <c r="A5" s="10"/>
      <c r="B5" s="10"/>
      <c r="C5" s="15" t="s">
        <v>7</v>
      </c>
      <c r="D5" s="15"/>
      <c r="E5" s="16" t="s">
        <v>8</v>
      </c>
      <c r="F5" s="16"/>
      <c r="G5" s="16"/>
      <c r="H5" s="16"/>
      <c r="I5" s="16"/>
      <c r="J5" s="16"/>
      <c r="K5" s="16"/>
      <c r="L5" s="8" t="s">
        <v>9</v>
      </c>
      <c r="M5" s="8" t="s">
        <v>10</v>
      </c>
      <c r="N5" s="8"/>
      <c r="O5" s="13"/>
    </row>
    <row r="6" s="3" customFormat="true" ht="20.25" hidden="false" customHeight="true" outlineLevel="0" collapsed="false">
      <c r="A6" s="17"/>
      <c r="B6" s="17"/>
      <c r="C6" s="18" t="s">
        <v>11</v>
      </c>
      <c r="D6" s="18"/>
      <c r="E6" s="18" t="s">
        <v>2</v>
      </c>
      <c r="F6" s="18"/>
      <c r="G6" s="18"/>
      <c r="H6" s="19"/>
      <c r="I6" s="6"/>
      <c r="J6" s="6"/>
      <c r="K6" s="11"/>
      <c r="L6" s="11"/>
      <c r="AC6" s="4"/>
      <c r="AD6" s="4"/>
    </row>
    <row r="7" customFormat="false" ht="56.25" hidden="false" customHeight="true" outlineLevel="0" collapsed="false">
      <c r="A7" s="20" t="s">
        <v>12</v>
      </c>
      <c r="B7" s="21" t="s">
        <v>13</v>
      </c>
      <c r="C7" s="22" t="s">
        <v>14</v>
      </c>
      <c r="D7" s="23" t="s">
        <v>15</v>
      </c>
      <c r="E7" s="24" t="s">
        <v>16</v>
      </c>
      <c r="F7" s="25" t="s">
        <v>17</v>
      </c>
      <c r="G7" s="25"/>
      <c r="H7" s="21" t="s">
        <v>18</v>
      </c>
      <c r="I7" s="26" t="s">
        <v>19</v>
      </c>
      <c r="J7" s="27" t="s">
        <v>20</v>
      </c>
      <c r="K7" s="27" t="s">
        <v>21</v>
      </c>
      <c r="L7" s="28" t="s">
        <v>22</v>
      </c>
      <c r="M7" s="28" t="s">
        <v>23</v>
      </c>
      <c r="N7" s="28" t="s">
        <v>24</v>
      </c>
      <c r="O7" s="29" t="s">
        <v>25</v>
      </c>
      <c r="P7" s="30"/>
      <c r="Q7" s="30"/>
      <c r="R7" s="30"/>
      <c r="S7" s="31"/>
      <c r="T7" s="32"/>
      <c r="U7" s="32"/>
      <c r="V7" s="32"/>
      <c r="W7" s="32"/>
      <c r="X7" s="32"/>
      <c r="Y7" s="32"/>
      <c r="Z7" s="32"/>
      <c r="AA7" s="32"/>
      <c r="AB7" s="32"/>
      <c r="AE7" s="32"/>
      <c r="AF7" s="32"/>
      <c r="AG7" s="32"/>
      <c r="AH7" s="32"/>
    </row>
    <row r="8" customFormat="false" ht="30" hidden="false" customHeight="false" outlineLevel="0" collapsed="false">
      <c r="A8" s="33" t="s">
        <v>26</v>
      </c>
      <c r="B8" s="34"/>
      <c r="C8" s="22"/>
      <c r="D8" s="23"/>
      <c r="E8" s="35"/>
      <c r="F8" s="36" t="s">
        <v>27</v>
      </c>
      <c r="G8" s="36" t="s">
        <v>28</v>
      </c>
      <c r="H8" s="21"/>
      <c r="I8" s="26"/>
      <c r="J8" s="37" t="s">
        <v>29</v>
      </c>
      <c r="K8" s="38"/>
      <c r="L8" s="38" t="e">
        <f aca="false">ROUNDUP((((L18*$P$18)+(L23*$P$23)+(#REF!*#REF!))/100),2)</f>
        <v>#REF!</v>
      </c>
      <c r="M8" s="28"/>
      <c r="N8" s="28"/>
      <c r="O8" s="29"/>
      <c r="P8" s="39" t="e">
        <f aca="false">"W"&amp;#REF!+1</f>
        <v>#REF!</v>
      </c>
      <c r="Q8" s="39"/>
      <c r="R8" s="39"/>
      <c r="S8" s="40"/>
      <c r="T8" s="41"/>
      <c r="U8" s="41"/>
      <c r="V8" s="41"/>
      <c r="W8" s="41"/>
      <c r="X8" s="41"/>
      <c r="Y8" s="41"/>
      <c r="Z8" s="41"/>
      <c r="AA8" s="41"/>
      <c r="AB8" s="41"/>
      <c r="AC8" s="42"/>
      <c r="AD8" s="42"/>
      <c r="AE8" s="41"/>
      <c r="AF8" s="41"/>
      <c r="AG8" s="41"/>
      <c r="AH8" s="41"/>
      <c r="AI8" s="43"/>
    </row>
    <row r="9" s="60" customFormat="true" ht="32.45" hidden="false" customHeight="true" outlineLevel="0" collapsed="false">
      <c r="A9" s="44" t="s">
        <v>30</v>
      </c>
      <c r="B9" s="45" t="s">
        <v>31</v>
      </c>
      <c r="C9" s="46"/>
      <c r="D9" s="47"/>
      <c r="E9" s="48"/>
      <c r="F9" s="49"/>
      <c r="G9" s="49"/>
      <c r="H9" s="50"/>
      <c r="I9" s="44"/>
      <c r="J9" s="51"/>
      <c r="K9" s="52"/>
      <c r="L9" s="52"/>
      <c r="M9" s="53"/>
      <c r="N9" s="54"/>
      <c r="O9" s="29"/>
      <c r="P9" s="55" t="n">
        <v>5</v>
      </c>
      <c r="Q9" s="55"/>
      <c r="R9" s="55"/>
      <c r="S9" s="56"/>
      <c r="T9" s="57"/>
      <c r="U9" s="57"/>
      <c r="V9" s="57"/>
      <c r="W9" s="57"/>
      <c r="X9" s="57"/>
      <c r="Y9" s="57"/>
      <c r="Z9" s="57"/>
      <c r="AA9" s="57"/>
      <c r="AB9" s="57"/>
      <c r="AC9" s="58"/>
      <c r="AD9" s="58"/>
      <c r="AE9" s="57"/>
      <c r="AF9" s="57"/>
      <c r="AG9" s="57"/>
      <c r="AH9" s="57"/>
      <c r="AI9" s="59"/>
    </row>
    <row r="10" customFormat="false" ht="21" hidden="false" customHeight="true" outlineLevel="1" collapsed="false">
      <c r="A10" s="61" t="s">
        <v>32</v>
      </c>
      <c r="B10" s="62" t="s">
        <v>33</v>
      </c>
      <c r="C10" s="63"/>
      <c r="D10" s="63"/>
      <c r="E10" s="64"/>
      <c r="F10" s="65"/>
      <c r="G10" s="65"/>
      <c r="H10" s="66"/>
      <c r="I10" s="67"/>
      <c r="J10" s="68"/>
      <c r="K10" s="69"/>
      <c r="L10" s="69"/>
      <c r="M10" s="70"/>
      <c r="N10" s="70"/>
      <c r="O10" s="29"/>
      <c r="P10" s="69"/>
      <c r="Q10" s="71"/>
      <c r="R10" s="71"/>
      <c r="S10" s="71"/>
      <c r="T10" s="72" t="s">
        <v>34</v>
      </c>
      <c r="U10" s="72"/>
      <c r="V10" s="72"/>
      <c r="W10" s="72"/>
      <c r="X10" s="72"/>
      <c r="Y10" s="72"/>
      <c r="Z10" s="72"/>
      <c r="AA10" s="72"/>
      <c r="AB10" s="72"/>
      <c r="AC10" s="73"/>
      <c r="AD10" s="73"/>
      <c r="AE10" s="72"/>
      <c r="AF10" s="72"/>
      <c r="AG10" s="72"/>
      <c r="AH10" s="72"/>
    </row>
    <row r="11" customFormat="false" ht="18.75" hidden="false" customHeight="true" outlineLevel="1" collapsed="false">
      <c r="A11" s="61" t="s">
        <v>35</v>
      </c>
      <c r="B11" s="62" t="s">
        <v>36</v>
      </c>
      <c r="C11" s="63"/>
      <c r="D11" s="63"/>
      <c r="E11" s="74"/>
      <c r="F11" s="65"/>
      <c r="G11" s="65"/>
      <c r="H11" s="66"/>
      <c r="I11" s="75"/>
      <c r="J11" s="68"/>
      <c r="K11" s="69"/>
      <c r="L11" s="69"/>
      <c r="M11" s="70"/>
      <c r="N11" s="70"/>
      <c r="O11" s="29"/>
      <c r="P11" s="69"/>
      <c r="Q11" s="71"/>
      <c r="R11" s="71"/>
      <c r="S11" s="71"/>
      <c r="T11" s="72"/>
      <c r="U11" s="72"/>
      <c r="V11" s="72"/>
      <c r="W11" s="72"/>
      <c r="X11" s="72"/>
      <c r="Y11" s="72"/>
      <c r="Z11" s="72"/>
      <c r="AA11" s="72"/>
      <c r="AB11" s="72"/>
      <c r="AC11" s="76"/>
      <c r="AD11" s="76"/>
      <c r="AE11" s="72"/>
      <c r="AF11" s="72"/>
      <c r="AG11" s="72"/>
      <c r="AH11" s="72"/>
    </row>
    <row r="12" customFormat="false" ht="24" hidden="false" customHeight="true" outlineLevel="2" collapsed="false">
      <c r="A12" s="61" t="s">
        <v>37</v>
      </c>
      <c r="B12" s="77" t="s">
        <v>38</v>
      </c>
      <c r="C12" s="63"/>
      <c r="D12" s="63" t="s">
        <v>39</v>
      </c>
      <c r="E12" s="74"/>
      <c r="F12" s="78" t="n">
        <v>45722</v>
      </c>
      <c r="G12" s="78" t="n">
        <v>45723</v>
      </c>
      <c r="H12" s="79" t="s">
        <v>40</v>
      </c>
      <c r="I12" s="61" t="n">
        <v>7</v>
      </c>
      <c r="J12" s="68" t="s">
        <v>29</v>
      </c>
      <c r="K12" s="69"/>
      <c r="L12" s="69"/>
      <c r="M12" s="70"/>
      <c r="N12" s="70" t="s">
        <v>41</v>
      </c>
      <c r="O12" s="29"/>
      <c r="P12" s="69"/>
      <c r="Q12" s="71"/>
      <c r="R12" s="71"/>
      <c r="S12" s="71"/>
      <c r="T12" s="72"/>
      <c r="U12" s="72"/>
      <c r="V12" s="72"/>
      <c r="W12" s="72"/>
      <c r="X12" s="72"/>
      <c r="Y12" s="72"/>
      <c r="Z12" s="72"/>
      <c r="AA12" s="72"/>
      <c r="AB12" s="72"/>
      <c r="AC12" s="76"/>
      <c r="AD12" s="76"/>
      <c r="AE12" s="72"/>
      <c r="AF12" s="72"/>
      <c r="AG12" s="72"/>
      <c r="AH12" s="72"/>
    </row>
    <row r="13" customFormat="false" ht="18.75" hidden="false" customHeight="true" outlineLevel="2" collapsed="false">
      <c r="A13" s="61" t="s">
        <v>42</v>
      </c>
      <c r="B13" s="77" t="s">
        <v>43</v>
      </c>
      <c r="C13" s="63"/>
      <c r="D13" s="63" t="s">
        <v>39</v>
      </c>
      <c r="E13" s="74"/>
      <c r="F13" s="78" t="n">
        <v>45726</v>
      </c>
      <c r="G13" s="78" t="n">
        <v>45726</v>
      </c>
      <c r="H13" s="79" t="s">
        <v>44</v>
      </c>
      <c r="I13" s="61" t="n">
        <v>6</v>
      </c>
      <c r="J13" s="68" t="s">
        <v>29</v>
      </c>
      <c r="K13" s="69"/>
      <c r="L13" s="69"/>
      <c r="M13" s="70"/>
      <c r="N13" s="70"/>
      <c r="O13" s="29"/>
      <c r="P13" s="69"/>
      <c r="Q13" s="71"/>
      <c r="R13" s="71"/>
      <c r="S13" s="71"/>
      <c r="T13" s="72"/>
      <c r="U13" s="72"/>
      <c r="V13" s="72"/>
      <c r="W13" s="72"/>
      <c r="X13" s="72"/>
      <c r="Y13" s="72"/>
      <c r="Z13" s="72"/>
      <c r="AA13" s="72"/>
      <c r="AB13" s="72"/>
      <c r="AC13" s="76"/>
      <c r="AD13" s="76"/>
      <c r="AE13" s="72"/>
      <c r="AF13" s="72"/>
      <c r="AG13" s="72"/>
      <c r="AH13" s="72"/>
    </row>
    <row r="14" customFormat="false" ht="18.75" hidden="false" customHeight="true" outlineLevel="1" collapsed="false">
      <c r="A14" s="61" t="s">
        <v>45</v>
      </c>
      <c r="B14" s="62" t="s">
        <v>46</v>
      </c>
      <c r="C14" s="63"/>
      <c r="D14" s="63"/>
      <c r="E14" s="74"/>
      <c r="F14" s="65"/>
      <c r="G14" s="65"/>
      <c r="H14" s="66"/>
      <c r="I14" s="75"/>
      <c r="J14" s="68"/>
      <c r="K14" s="69"/>
      <c r="L14" s="69"/>
      <c r="M14" s="70"/>
      <c r="N14" s="70"/>
      <c r="O14" s="29"/>
      <c r="P14" s="69"/>
      <c r="Q14" s="71"/>
      <c r="R14" s="71"/>
      <c r="S14" s="71"/>
      <c r="T14" s="72"/>
      <c r="U14" s="72"/>
      <c r="V14" s="72"/>
      <c r="W14" s="72"/>
      <c r="X14" s="72"/>
      <c r="Y14" s="72"/>
      <c r="Z14" s="72"/>
      <c r="AA14" s="72"/>
      <c r="AB14" s="72"/>
      <c r="AC14" s="76"/>
      <c r="AD14" s="76"/>
      <c r="AE14" s="72"/>
      <c r="AF14" s="72"/>
      <c r="AG14" s="72"/>
      <c r="AH14" s="72"/>
    </row>
    <row r="15" customFormat="false" ht="18.75" hidden="false" customHeight="true" outlineLevel="2" collapsed="false">
      <c r="A15" s="61" t="s">
        <v>47</v>
      </c>
      <c r="B15" s="77" t="s">
        <v>48</v>
      </c>
      <c r="C15" s="63"/>
      <c r="D15" s="63" t="s">
        <v>49</v>
      </c>
      <c r="E15" s="74"/>
      <c r="F15" s="78" t="n">
        <f aca="false">G13+1</f>
        <v>45727</v>
      </c>
      <c r="G15" s="78" t="n">
        <v>45728</v>
      </c>
      <c r="H15" s="79" t="s">
        <v>40</v>
      </c>
      <c r="I15" s="61" t="n">
        <v>24</v>
      </c>
      <c r="J15" s="68" t="s">
        <v>29</v>
      </c>
      <c r="K15" s="69"/>
      <c r="L15" s="69"/>
      <c r="M15" s="70"/>
      <c r="N15" s="70"/>
      <c r="O15" s="29"/>
      <c r="P15" s="69"/>
      <c r="Q15" s="71"/>
      <c r="R15" s="71"/>
      <c r="S15" s="71"/>
      <c r="T15" s="72"/>
      <c r="U15" s="72"/>
      <c r="V15" s="72"/>
      <c r="W15" s="72"/>
      <c r="X15" s="72"/>
      <c r="Y15" s="72"/>
      <c r="Z15" s="72"/>
      <c r="AA15" s="72"/>
      <c r="AB15" s="72"/>
      <c r="AC15" s="76"/>
      <c r="AD15" s="76"/>
      <c r="AE15" s="72"/>
      <c r="AF15" s="72"/>
      <c r="AG15" s="72"/>
      <c r="AH15" s="72"/>
    </row>
    <row r="16" customFormat="false" ht="21" hidden="false" customHeight="true" outlineLevel="2" collapsed="false">
      <c r="A16" s="61" t="s">
        <v>50</v>
      </c>
      <c r="B16" s="77" t="s">
        <v>51</v>
      </c>
      <c r="C16" s="63"/>
      <c r="D16" s="63" t="s">
        <v>49</v>
      </c>
      <c r="E16" s="80"/>
      <c r="F16" s="78" t="n">
        <v>45729</v>
      </c>
      <c r="G16" s="78" t="n">
        <v>45736</v>
      </c>
      <c r="H16" s="79" t="s">
        <v>44</v>
      </c>
      <c r="I16" s="61" t="n">
        <v>12</v>
      </c>
      <c r="J16" s="68" t="s">
        <v>29</v>
      </c>
      <c r="K16" s="69"/>
      <c r="L16" s="69"/>
      <c r="M16" s="70"/>
      <c r="N16" s="70"/>
      <c r="O16" s="29"/>
      <c r="P16" s="69"/>
      <c r="Q16" s="71"/>
      <c r="R16" s="71"/>
      <c r="S16" s="71"/>
      <c r="T16" s="72"/>
      <c r="U16" s="72"/>
      <c r="V16" s="72"/>
      <c r="W16" s="72"/>
      <c r="X16" s="72"/>
      <c r="Y16" s="72"/>
      <c r="Z16" s="72"/>
      <c r="AA16" s="72"/>
      <c r="AB16" s="72"/>
      <c r="AC16" s="76"/>
      <c r="AD16" s="76"/>
      <c r="AE16" s="72"/>
      <c r="AF16" s="72"/>
      <c r="AG16" s="72"/>
      <c r="AH16" s="72"/>
    </row>
    <row r="17" customFormat="false" ht="23.25" hidden="false" customHeight="true" outlineLevel="2" collapsed="false">
      <c r="A17" s="61" t="s">
        <v>52</v>
      </c>
      <c r="B17" s="77" t="s">
        <v>53</v>
      </c>
      <c r="C17" s="63"/>
      <c r="D17" s="63" t="s">
        <v>49</v>
      </c>
      <c r="E17" s="81"/>
      <c r="F17" s="78" t="n">
        <v>45736</v>
      </c>
      <c r="G17" s="78" t="n">
        <v>45737</v>
      </c>
      <c r="H17" s="79" t="s">
        <v>40</v>
      </c>
      <c r="I17" s="61" t="n">
        <v>6</v>
      </c>
      <c r="J17" s="68" t="s">
        <v>29</v>
      </c>
      <c r="K17" s="69"/>
      <c r="L17" s="69"/>
      <c r="M17" s="70"/>
      <c r="N17" s="70"/>
      <c r="O17" s="29"/>
      <c r="P17" s="69"/>
      <c r="Q17" s="71"/>
      <c r="R17" s="71"/>
      <c r="S17" s="71"/>
      <c r="T17" s="72" t="s">
        <v>54</v>
      </c>
      <c r="U17" s="72"/>
      <c r="V17" s="72"/>
      <c r="W17" s="72"/>
      <c r="X17" s="72"/>
      <c r="Y17" s="72"/>
      <c r="Z17" s="72"/>
      <c r="AA17" s="72"/>
      <c r="AB17" s="72"/>
      <c r="AC17" s="76"/>
      <c r="AD17" s="76"/>
      <c r="AE17" s="72"/>
      <c r="AF17" s="72"/>
      <c r="AG17" s="72"/>
      <c r="AH17" s="72"/>
    </row>
    <row r="18" s="60" customFormat="true" ht="32.45" hidden="false" customHeight="true" outlineLevel="0" collapsed="false">
      <c r="A18" s="44" t="s">
        <v>55</v>
      </c>
      <c r="B18" s="45" t="s">
        <v>56</v>
      </c>
      <c r="C18" s="46"/>
      <c r="D18" s="47"/>
      <c r="E18" s="48"/>
      <c r="F18" s="49"/>
      <c r="G18" s="49"/>
      <c r="H18" s="50"/>
      <c r="I18" s="44"/>
      <c r="J18" s="51"/>
      <c r="K18" s="52"/>
      <c r="L18" s="52"/>
      <c r="M18" s="82"/>
      <c r="N18" s="83"/>
      <c r="O18" s="29"/>
      <c r="P18" s="55" t="n">
        <v>5</v>
      </c>
      <c r="Q18" s="55"/>
      <c r="R18" s="55"/>
      <c r="S18" s="56"/>
      <c r="T18" s="57"/>
      <c r="U18" s="57"/>
      <c r="V18" s="57"/>
      <c r="W18" s="57"/>
      <c r="X18" s="57"/>
      <c r="Y18" s="57"/>
      <c r="Z18" s="57"/>
      <c r="AA18" s="57"/>
      <c r="AB18" s="57"/>
      <c r="AC18" s="58"/>
      <c r="AD18" s="58"/>
      <c r="AE18" s="57"/>
      <c r="AF18" s="57"/>
      <c r="AG18" s="57"/>
      <c r="AH18" s="57"/>
      <c r="AI18" s="59"/>
    </row>
    <row r="19" customFormat="false" ht="21" hidden="false" customHeight="true" outlineLevel="1" collapsed="false">
      <c r="A19" s="61" t="s">
        <v>57</v>
      </c>
      <c r="B19" s="62" t="s">
        <v>58</v>
      </c>
      <c r="C19" s="64"/>
      <c r="D19" s="63" t="s">
        <v>59</v>
      </c>
      <c r="E19" s="84"/>
      <c r="F19" s="65" t="n">
        <v>45738</v>
      </c>
      <c r="G19" s="65" t="n">
        <v>45740</v>
      </c>
      <c r="H19" s="66" t="s">
        <v>44</v>
      </c>
      <c r="I19" s="75" t="n">
        <v>16</v>
      </c>
      <c r="J19" s="68" t="s">
        <v>29</v>
      </c>
      <c r="K19" s="69"/>
      <c r="L19" s="69"/>
      <c r="M19" s="70"/>
      <c r="N19" s="70"/>
      <c r="O19" s="70" t="str">
        <f aca="false">IF(K19=100%,"Hoàn Thành",IF(K19=0," ","Đang Thực Hiện"))</f>
        <v> </v>
      </c>
      <c r="P19" s="85"/>
      <c r="Q19" s="71"/>
      <c r="R19" s="71"/>
      <c r="S19" s="71"/>
      <c r="T19" s="72" t="s">
        <v>34</v>
      </c>
      <c r="U19" s="72"/>
      <c r="V19" s="72"/>
      <c r="W19" s="72"/>
      <c r="X19" s="72"/>
      <c r="Y19" s="72"/>
      <c r="Z19" s="72"/>
      <c r="AA19" s="72"/>
      <c r="AB19" s="72"/>
      <c r="AC19" s="73"/>
      <c r="AD19" s="73"/>
      <c r="AE19" s="72"/>
      <c r="AF19" s="72"/>
      <c r="AG19" s="72"/>
      <c r="AH19" s="72"/>
    </row>
    <row r="20" customFormat="false" ht="18.75" hidden="false" customHeight="true" outlineLevel="1" collapsed="false">
      <c r="A20" s="61" t="s">
        <v>60</v>
      </c>
      <c r="B20" s="62" t="s">
        <v>61</v>
      </c>
      <c r="C20" s="74"/>
      <c r="D20" s="63" t="s">
        <v>62</v>
      </c>
      <c r="E20" s="86"/>
      <c r="F20" s="65" t="n">
        <v>45737</v>
      </c>
      <c r="G20" s="65" t="n">
        <v>45737</v>
      </c>
      <c r="H20" s="66" t="s">
        <v>40</v>
      </c>
      <c r="I20" s="75" t="n">
        <v>8</v>
      </c>
      <c r="J20" s="68" t="s">
        <v>29</v>
      </c>
      <c r="K20" s="69"/>
      <c r="L20" s="69"/>
      <c r="M20" s="70"/>
      <c r="N20" s="70"/>
      <c r="O20" s="70"/>
      <c r="P20" s="85"/>
      <c r="Q20" s="71"/>
      <c r="R20" s="71"/>
      <c r="S20" s="71"/>
      <c r="T20" s="72"/>
      <c r="U20" s="72"/>
      <c r="V20" s="72"/>
      <c r="W20" s="72"/>
      <c r="X20" s="72"/>
      <c r="Y20" s="72"/>
      <c r="Z20" s="72"/>
      <c r="AA20" s="72"/>
      <c r="AB20" s="72"/>
      <c r="AC20" s="76"/>
      <c r="AD20" s="76"/>
      <c r="AE20" s="72"/>
      <c r="AF20" s="72"/>
      <c r="AG20" s="72"/>
      <c r="AH20" s="72"/>
    </row>
    <row r="21" customFormat="false" ht="18.75" hidden="false" customHeight="true" outlineLevel="1" collapsed="false">
      <c r="A21" s="61" t="s">
        <v>63</v>
      </c>
      <c r="B21" s="62" t="s">
        <v>64</v>
      </c>
      <c r="C21" s="74"/>
      <c r="D21" s="63" t="s">
        <v>65</v>
      </c>
      <c r="E21" s="86"/>
      <c r="F21" s="65" t="s">
        <v>66</v>
      </c>
      <c r="G21" s="65" t="s">
        <v>67</v>
      </c>
      <c r="H21" s="66" t="s">
        <v>44</v>
      </c>
      <c r="I21" s="75" t="n">
        <v>9</v>
      </c>
      <c r="J21" s="68" t="s">
        <v>29</v>
      </c>
      <c r="K21" s="69"/>
      <c r="L21" s="69"/>
      <c r="M21" s="70"/>
      <c r="N21" s="70"/>
      <c r="O21" s="70"/>
      <c r="P21" s="85"/>
      <c r="Q21" s="71"/>
      <c r="R21" s="71"/>
      <c r="S21" s="71"/>
      <c r="T21" s="72"/>
      <c r="U21" s="72"/>
      <c r="V21" s="72"/>
      <c r="W21" s="72"/>
      <c r="X21" s="72"/>
      <c r="Y21" s="72"/>
      <c r="Z21" s="72"/>
      <c r="AA21" s="72"/>
      <c r="AB21" s="72"/>
      <c r="AC21" s="76"/>
      <c r="AD21" s="76"/>
      <c r="AE21" s="72"/>
      <c r="AF21" s="72"/>
      <c r="AG21" s="72"/>
      <c r="AH21" s="72"/>
    </row>
    <row r="22" customFormat="false" ht="18.75" hidden="false" customHeight="true" outlineLevel="1" collapsed="false">
      <c r="A22" s="61" t="s">
        <v>63</v>
      </c>
      <c r="B22" s="62" t="s">
        <v>68</v>
      </c>
      <c r="C22" s="74"/>
      <c r="D22" s="63" t="s">
        <v>59</v>
      </c>
      <c r="E22" s="74"/>
      <c r="F22" s="65" t="n">
        <v>45740</v>
      </c>
      <c r="G22" s="65" t="n">
        <v>45744</v>
      </c>
      <c r="H22" s="66" t="s">
        <v>44</v>
      </c>
      <c r="I22" s="75" t="n">
        <v>10</v>
      </c>
      <c r="J22" s="68" t="s">
        <v>29</v>
      </c>
      <c r="K22" s="69"/>
      <c r="L22" s="69"/>
      <c r="M22" s="70"/>
      <c r="N22" s="70"/>
      <c r="O22" s="70"/>
      <c r="P22" s="85"/>
      <c r="Q22" s="71"/>
      <c r="R22" s="71"/>
      <c r="S22" s="71"/>
      <c r="T22" s="72"/>
      <c r="U22" s="72"/>
      <c r="V22" s="72"/>
      <c r="W22" s="72"/>
      <c r="X22" s="72"/>
      <c r="Y22" s="72"/>
      <c r="Z22" s="72"/>
      <c r="AA22" s="72"/>
      <c r="AB22" s="72"/>
      <c r="AC22" s="76"/>
      <c r="AD22" s="76"/>
      <c r="AE22" s="72"/>
      <c r="AF22" s="72"/>
      <c r="AG22" s="72"/>
      <c r="AH22" s="72"/>
    </row>
    <row r="23" s="89" customFormat="true" ht="23.45" hidden="false" customHeight="true" outlineLevel="0" collapsed="false">
      <c r="A23" s="44" t="s">
        <v>69</v>
      </c>
      <c r="B23" s="45" t="s">
        <v>70</v>
      </c>
      <c r="C23" s="46"/>
      <c r="D23" s="87"/>
      <c r="E23" s="48"/>
      <c r="F23" s="49"/>
      <c r="G23" s="49"/>
      <c r="H23" s="50"/>
      <c r="I23" s="33"/>
      <c r="J23" s="37"/>
      <c r="K23" s="52"/>
      <c r="L23" s="52"/>
      <c r="M23" s="48"/>
      <c r="N23" s="48"/>
      <c r="O23" s="48"/>
      <c r="P23" s="55" t="n">
        <v>80</v>
      </c>
      <c r="Q23" s="55"/>
      <c r="R23" s="55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</row>
    <row r="24" s="92" customFormat="true" ht="15" hidden="false" customHeight="true" outlineLevel="1" collapsed="false">
      <c r="A24" s="61" t="s">
        <v>71</v>
      </c>
      <c r="B24" s="77" t="s">
        <v>72</v>
      </c>
      <c r="C24" s="77"/>
      <c r="D24" s="63" t="s">
        <v>73</v>
      </c>
      <c r="E24" s="77"/>
      <c r="F24" s="78" t="n">
        <v>45760</v>
      </c>
      <c r="G24" s="78" t="n">
        <f aca="false">F24+I24</f>
        <v>45800</v>
      </c>
      <c r="H24" s="79" t="s">
        <v>40</v>
      </c>
      <c r="I24" s="67" t="n">
        <f aca="false">20*2</f>
        <v>40</v>
      </c>
      <c r="J24" s="68" t="s">
        <v>29</v>
      </c>
      <c r="K24" s="77"/>
      <c r="L24" s="77"/>
      <c r="M24" s="77"/>
      <c r="N24" s="77"/>
      <c r="O24" s="90"/>
      <c r="P24" s="55" t="n">
        <v>20</v>
      </c>
      <c r="Q24" s="41"/>
      <c r="R24" s="4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</row>
    <row r="25" s="92" customFormat="true" ht="15" hidden="false" customHeight="true" outlineLevel="1" collapsed="false">
      <c r="A25" s="61" t="s">
        <v>74</v>
      </c>
      <c r="B25" s="77" t="s">
        <v>75</v>
      </c>
      <c r="C25" s="77"/>
      <c r="D25" s="63" t="s">
        <v>73</v>
      </c>
      <c r="E25" s="77"/>
      <c r="F25" s="78" t="n">
        <f aca="false">G24+1</f>
        <v>45801</v>
      </c>
      <c r="G25" s="78" t="n">
        <f aca="false">F25+I25</f>
        <v>45865</v>
      </c>
      <c r="H25" s="79" t="s">
        <v>40</v>
      </c>
      <c r="I25" s="67" t="n">
        <f aca="false">32*2</f>
        <v>64</v>
      </c>
      <c r="J25" s="68" t="s">
        <v>29</v>
      </c>
      <c r="K25" s="77"/>
      <c r="L25" s="77"/>
      <c r="M25" s="77"/>
      <c r="N25" s="77"/>
      <c r="O25" s="90"/>
      <c r="P25" s="55" t="n">
        <v>10</v>
      </c>
      <c r="Q25" s="41"/>
      <c r="R25" s="4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</row>
    <row r="26" s="92" customFormat="true" ht="15" hidden="false" customHeight="true" outlineLevel="1" collapsed="false">
      <c r="A26" s="61" t="s">
        <v>76</v>
      </c>
      <c r="B26" s="77" t="s">
        <v>77</v>
      </c>
      <c r="C26" s="77"/>
      <c r="D26" s="63" t="s">
        <v>73</v>
      </c>
      <c r="E26" s="77"/>
      <c r="F26" s="78" t="n">
        <f aca="false">G25+1</f>
        <v>45866</v>
      </c>
      <c r="G26" s="78" t="n">
        <f aca="false">F26+I26</f>
        <v>45898</v>
      </c>
      <c r="H26" s="79" t="s">
        <v>44</v>
      </c>
      <c r="I26" s="67" t="n">
        <f aca="false">16*2</f>
        <v>32</v>
      </c>
      <c r="J26" s="68" t="s">
        <v>29</v>
      </c>
      <c r="K26" s="77"/>
      <c r="L26" s="77"/>
      <c r="M26" s="77"/>
      <c r="N26" s="77"/>
      <c r="O26" s="90"/>
      <c r="P26" s="41" t="n">
        <v>10</v>
      </c>
      <c r="Q26" s="41"/>
      <c r="R26" s="4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</row>
    <row r="27" s="3" customFormat="true" ht="18" hidden="false" customHeight="false" outlineLevel="0" collapsed="false">
      <c r="A27" s="44" t="s">
        <v>78</v>
      </c>
      <c r="B27" s="45" t="s">
        <v>79</v>
      </c>
      <c r="C27" s="46"/>
      <c r="D27" s="87"/>
      <c r="E27" s="48"/>
      <c r="F27" s="49"/>
      <c r="G27" s="49"/>
      <c r="H27" s="50"/>
      <c r="I27" s="33"/>
      <c r="J27" s="37"/>
      <c r="K27" s="52"/>
      <c r="L27" s="52"/>
      <c r="M27" s="48"/>
      <c r="N27" s="48"/>
      <c r="O27" s="81"/>
      <c r="P27" s="93"/>
      <c r="Q27" s="94"/>
      <c r="R27" s="94"/>
    </row>
    <row r="28" s="3" customFormat="true" ht="18" hidden="false" customHeight="false" outlineLevel="1" collapsed="false">
      <c r="A28" s="61" t="s">
        <v>80</v>
      </c>
      <c r="B28" s="77" t="s">
        <v>81</v>
      </c>
      <c r="C28" s="95"/>
      <c r="D28" s="63" t="s">
        <v>73</v>
      </c>
      <c r="E28" s="96"/>
      <c r="F28" s="78" t="n">
        <v>45750</v>
      </c>
      <c r="G28" s="78" t="n">
        <f aca="false">F28+I28</f>
        <v>45792</v>
      </c>
      <c r="H28" s="79" t="s">
        <v>44</v>
      </c>
      <c r="I28" s="67" t="n">
        <f aca="false">6*7</f>
        <v>42</v>
      </c>
      <c r="J28" s="68" t="s">
        <v>29</v>
      </c>
      <c r="K28" s="97"/>
      <c r="L28" s="97"/>
      <c r="M28" s="98"/>
      <c r="N28" s="98"/>
      <c r="O28" s="81"/>
      <c r="P28" s="93"/>
      <c r="Q28" s="94"/>
      <c r="R28" s="94"/>
    </row>
    <row r="29" s="3" customFormat="true" ht="18" hidden="false" customHeight="false" outlineLevel="1" collapsed="false">
      <c r="A29" s="61" t="s">
        <v>82</v>
      </c>
      <c r="B29" s="77" t="s">
        <v>83</v>
      </c>
      <c r="C29" s="95"/>
      <c r="D29" s="63" t="s">
        <v>73</v>
      </c>
      <c r="E29" s="96"/>
      <c r="F29" s="78" t="n">
        <f aca="false">F28</f>
        <v>45750</v>
      </c>
      <c r="G29" s="78" t="n">
        <f aca="false">F29+I29</f>
        <v>45854</v>
      </c>
      <c r="H29" s="79" t="s">
        <v>44</v>
      </c>
      <c r="I29" s="67" t="n">
        <f aca="false">13*8</f>
        <v>104</v>
      </c>
      <c r="J29" s="68" t="s">
        <v>29</v>
      </c>
      <c r="K29" s="97"/>
      <c r="L29" s="97"/>
      <c r="M29" s="98"/>
      <c r="N29" s="98"/>
      <c r="O29" s="81"/>
      <c r="P29" s="93"/>
      <c r="Q29" s="94"/>
      <c r="R29" s="94"/>
    </row>
    <row r="30" s="3" customFormat="true" ht="18" hidden="false" customHeight="false" outlineLevel="1" collapsed="false">
      <c r="A30" s="61" t="s">
        <v>84</v>
      </c>
      <c r="B30" s="77" t="s">
        <v>85</v>
      </c>
      <c r="C30" s="95"/>
      <c r="D30" s="63" t="s">
        <v>73</v>
      </c>
      <c r="E30" s="96"/>
      <c r="F30" s="78" t="n">
        <f aca="false">F29</f>
        <v>45750</v>
      </c>
      <c r="G30" s="78" t="n">
        <f aca="false">F30+I30</f>
        <v>45763</v>
      </c>
      <c r="H30" s="79" t="s">
        <v>40</v>
      </c>
      <c r="I30" s="67" t="n">
        <v>13</v>
      </c>
      <c r="J30" s="68" t="s">
        <v>29</v>
      </c>
      <c r="K30" s="97"/>
      <c r="L30" s="97"/>
      <c r="M30" s="98"/>
      <c r="N30" s="98"/>
      <c r="O30" s="81"/>
      <c r="P30" s="93"/>
      <c r="Q30" s="94"/>
      <c r="R30" s="94"/>
    </row>
    <row r="31" s="3" customFormat="true" ht="18" hidden="false" customHeight="false" outlineLevel="1" collapsed="false">
      <c r="A31" s="61" t="s">
        <v>86</v>
      </c>
      <c r="B31" s="77" t="s">
        <v>87</v>
      </c>
      <c r="C31" s="95"/>
      <c r="D31" s="63" t="s">
        <v>73</v>
      </c>
      <c r="E31" s="96"/>
      <c r="F31" s="78" t="n">
        <f aca="false">G30-2</f>
        <v>45761</v>
      </c>
      <c r="G31" s="78" t="n">
        <f aca="false">F31+I31</f>
        <v>45781</v>
      </c>
      <c r="H31" s="79" t="s">
        <v>44</v>
      </c>
      <c r="I31" s="67" t="n">
        <v>20</v>
      </c>
      <c r="J31" s="68" t="s">
        <v>29</v>
      </c>
      <c r="K31" s="97"/>
      <c r="L31" s="97"/>
      <c r="M31" s="98"/>
      <c r="N31" s="98"/>
      <c r="O31" s="81"/>
      <c r="P31" s="93"/>
      <c r="Q31" s="94"/>
      <c r="R31" s="94"/>
    </row>
    <row r="32" s="3" customFormat="true" ht="18" hidden="false" customHeight="false" outlineLevel="1" collapsed="false">
      <c r="A32" s="61" t="s">
        <v>88</v>
      </c>
      <c r="B32" s="77" t="s">
        <v>89</v>
      </c>
      <c r="C32" s="95"/>
      <c r="D32" s="63" t="s">
        <v>73</v>
      </c>
      <c r="E32" s="96"/>
      <c r="F32" s="78" t="n">
        <f aca="false">G31+1</f>
        <v>45782</v>
      </c>
      <c r="G32" s="78" t="n">
        <f aca="false">F32+I32</f>
        <v>45792</v>
      </c>
      <c r="H32" s="79" t="s">
        <v>40</v>
      </c>
      <c r="I32" s="67" t="n">
        <v>10</v>
      </c>
      <c r="J32" s="68" t="s">
        <v>29</v>
      </c>
      <c r="K32" s="97"/>
      <c r="L32" s="97"/>
      <c r="M32" s="98"/>
      <c r="N32" s="98"/>
      <c r="O32" s="81"/>
      <c r="P32" s="93"/>
      <c r="Q32" s="94"/>
      <c r="R32" s="94"/>
    </row>
    <row r="33" s="3" customFormat="true" ht="18" hidden="false" customHeight="false" outlineLevel="1" collapsed="false">
      <c r="A33" s="61" t="s">
        <v>90</v>
      </c>
      <c r="B33" s="77" t="s">
        <v>91</v>
      </c>
      <c r="C33" s="95"/>
      <c r="D33" s="63" t="s">
        <v>73</v>
      </c>
      <c r="E33" s="96"/>
      <c r="F33" s="78" t="n">
        <f aca="false">G31</f>
        <v>45781</v>
      </c>
      <c r="G33" s="78" t="n">
        <f aca="false">F33+I33</f>
        <v>45785</v>
      </c>
      <c r="H33" s="79" t="s">
        <v>40</v>
      </c>
      <c r="I33" s="67" t="n">
        <v>4</v>
      </c>
      <c r="J33" s="68" t="s">
        <v>29</v>
      </c>
      <c r="K33" s="97"/>
      <c r="L33" s="97"/>
      <c r="M33" s="98"/>
      <c r="N33" s="98"/>
      <c r="O33" s="81"/>
      <c r="P33" s="93"/>
      <c r="Q33" s="94"/>
      <c r="R33" s="94"/>
    </row>
    <row r="34" s="3" customFormat="true" ht="18" hidden="false" customHeight="false" outlineLevel="1" collapsed="false">
      <c r="A34" s="61" t="s">
        <v>92</v>
      </c>
      <c r="B34" s="77" t="s">
        <v>93</v>
      </c>
      <c r="C34" s="95"/>
      <c r="D34" s="63" t="s">
        <v>73</v>
      </c>
      <c r="E34" s="96"/>
      <c r="F34" s="78" t="n">
        <f aca="false">G33+1</f>
        <v>45786</v>
      </c>
      <c r="G34" s="78" t="n">
        <f aca="false">F34+I34</f>
        <v>45802</v>
      </c>
      <c r="H34" s="79" t="s">
        <v>40</v>
      </c>
      <c r="I34" s="67" t="n">
        <v>16</v>
      </c>
      <c r="J34" s="68" t="s">
        <v>29</v>
      </c>
      <c r="K34" s="97"/>
      <c r="L34" s="97"/>
      <c r="M34" s="98"/>
      <c r="N34" s="98"/>
      <c r="O34" s="81"/>
      <c r="P34" s="93"/>
      <c r="Q34" s="94"/>
      <c r="R34" s="94"/>
    </row>
    <row r="35" s="89" customFormat="true" ht="18" hidden="false" customHeight="false" outlineLevel="0" collapsed="false">
      <c r="A35" s="44" t="s">
        <v>94</v>
      </c>
      <c r="B35" s="45"/>
      <c r="C35" s="46"/>
      <c r="D35" s="87"/>
      <c r="E35" s="48"/>
      <c r="F35" s="44"/>
      <c r="G35" s="49"/>
      <c r="H35" s="50"/>
      <c r="I35" s="44" t="n">
        <f aca="false">SUM(I10:I34)</f>
        <v>443</v>
      </c>
      <c r="J35" s="51"/>
      <c r="K35" s="52" t="n">
        <f aca="false">SUM(K36*$P36+K37*$P37+K38*$P38+K39*$P39+K40*$P40)/100</f>
        <v>0</v>
      </c>
      <c r="L35" s="52" t="n">
        <f aca="false">SUM(L36*$P36+L37*$P37+L38*$P38+L39*$P39+L40*$P40)/100</f>
        <v>0</v>
      </c>
      <c r="M35" s="48"/>
      <c r="N35" s="51" t="s">
        <v>95</v>
      </c>
      <c r="O35" s="48" t="str">
        <f aca="false">IF(K35=100%,"Hoàn Thành",IF(K35=0," ","Đang Thực Hiện"))</f>
        <v> </v>
      </c>
      <c r="P35" s="55" t="n">
        <v>15</v>
      </c>
      <c r="Q35" s="55"/>
      <c r="R35" s="55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</row>
    <row r="36" customFormat="false" ht="18" hidden="false" customHeight="false" outlineLevel="0" collapsed="false">
      <c r="J36" s="51" t="s">
        <v>29</v>
      </c>
      <c r="AC36" s="3"/>
      <c r="AD36" s="3"/>
    </row>
    <row r="37" customFormat="false" ht="14.25" hidden="false" customHeight="false" outlineLevel="0" collapsed="false">
      <c r="AC37" s="3"/>
      <c r="AD37" s="3"/>
    </row>
    <row r="38" customFormat="false" ht="14.25" hidden="false" customHeight="false" outlineLevel="0" collapsed="false">
      <c r="AC38" s="3"/>
      <c r="AD38" s="3"/>
    </row>
    <row r="39" customFormat="false" ht="14.25" hidden="false" customHeight="false" outlineLevel="0" collapsed="false">
      <c r="AC39" s="3"/>
      <c r="AD39" s="3"/>
    </row>
    <row r="40" customFormat="false" ht="14.25" hidden="false" customHeight="false" outlineLevel="0" collapsed="false">
      <c r="AC40" s="3"/>
      <c r="AD40" s="3"/>
    </row>
    <row r="41" customFormat="false" ht="14.25" hidden="false" customHeight="false" outlineLevel="0" collapsed="false">
      <c r="AC41" s="3"/>
      <c r="AD41" s="3"/>
    </row>
    <row r="42" customFormat="false" ht="14.25" hidden="false" customHeight="false" outlineLevel="0" collapsed="false">
      <c r="AC42" s="3"/>
      <c r="AD42" s="3"/>
    </row>
  </sheetData>
  <mergeCells count="18">
    <mergeCell ref="C1:K3"/>
    <mergeCell ref="A2:B2"/>
    <mergeCell ref="A3:B3"/>
    <mergeCell ref="C5:D5"/>
    <mergeCell ref="E5:K5"/>
    <mergeCell ref="C6:D6"/>
    <mergeCell ref="E6:G6"/>
    <mergeCell ref="C7:C8"/>
    <mergeCell ref="D7:D8"/>
    <mergeCell ref="F7:G7"/>
    <mergeCell ref="H7:H8"/>
    <mergeCell ref="I7:I8"/>
    <mergeCell ref="M7:M8"/>
    <mergeCell ref="N7:N8"/>
    <mergeCell ref="O7:O18"/>
    <mergeCell ref="P10:P16"/>
    <mergeCell ref="O19:O22"/>
    <mergeCell ref="P19:P22"/>
  </mergeCells>
  <conditionalFormatting sqref="K9 K30">
    <cfRule type="dataBar" priority="2">
      <dataBar showValue="1" minLength="10" maxLength="90"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{89767951-5740-486B-A8F4-523D86A1AFEB}</x14:id>
        </ext>
      </extLst>
    </cfRule>
  </conditionalFormatting>
  <conditionalFormatting sqref="K18">
    <cfRule type="dataBar" priority="3">
      <dataBar showValue="1" minLength="10" maxLength="90"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{42AC6B48-362D-49D4-8151-50AB827A99DA}</x14:id>
        </ext>
      </extLst>
    </cfRule>
  </conditionalFormatting>
  <conditionalFormatting sqref="K23">
    <cfRule type="dataBar" priority="4">
      <dataBar showValue="1" minLength="10" maxLength="90"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{96F5AC49-2099-4F5A-BFB9-96591D328D62}</x14:id>
        </ext>
      </extLst>
    </cfRule>
  </conditionalFormatting>
  <conditionalFormatting sqref="K27:K29 K8">
    <cfRule type="dataBar" priority="5">
      <dataBar showValue="1" minLength="10" maxLength="90"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{A0ADB539-1115-475F-AD4D-705338AC272D}</x14:id>
        </ext>
      </extLst>
    </cfRule>
  </conditionalFormatting>
  <conditionalFormatting sqref="K31">
    <cfRule type="dataBar" priority="6">
      <dataBar showValue="1" minLength="10" maxLength="90"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{C9222EE0-D553-4DCB-B353-5DBA1940D59C}</x14:id>
        </ext>
      </extLst>
    </cfRule>
  </conditionalFormatting>
  <conditionalFormatting sqref="K32">
    <cfRule type="dataBar" priority="7">
      <dataBar showValue="1" minLength="10" maxLength="90"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{F350D5A7-89E0-42A3-B1E0-8549218D75C3}</x14:id>
        </ext>
      </extLst>
    </cfRule>
  </conditionalFormatting>
  <conditionalFormatting sqref="K33">
    <cfRule type="dataBar" priority="8">
      <dataBar showValue="1" minLength="10" maxLength="90"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{CBD0B4C2-EE91-4056-A62C-CBF8C1E525D9}</x14:id>
        </ext>
      </extLst>
    </cfRule>
  </conditionalFormatting>
  <conditionalFormatting sqref="K34">
    <cfRule type="dataBar" priority="9">
      <dataBar showValue="1" minLength="10" maxLength="90"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{7FAEBB42-CA48-4529-B116-B88C354232BA}</x14:id>
        </ext>
      </extLst>
    </cfRule>
  </conditionalFormatting>
  <conditionalFormatting sqref="K35">
    <cfRule type="dataBar" priority="10">
      <dataBar showValue="1" minLength="10" maxLength="90"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{22FD72BE-7215-4290-AB87-109F132E3925}</x14:id>
        </ext>
      </extLst>
    </cfRule>
  </conditionalFormatting>
  <conditionalFormatting sqref="L8 L30">
    <cfRule type="dataBar" priority="11">
      <dataBar showValue="1" minLength="10" maxLength="90">
        <cfvo type="num" val="0"/>
        <cfvo type="num" val="1"/>
        <color rgb="FFF4B183"/>
      </dataBar>
      <extLst>
        <ext xmlns:x14="http://schemas.microsoft.com/office/spreadsheetml/2009/9/main" uri="{B025F937-C7B1-47D3-B67F-A62EFF666E3E}">
          <x14:id>{BE2FF2F2-1860-4EAE-813F-70AFAC904CB1}</x14:id>
        </ext>
      </extLst>
    </cfRule>
  </conditionalFormatting>
  <conditionalFormatting sqref="L9">
    <cfRule type="dataBar" priority="12">
      <dataBar showValue="1" minLength="10" maxLength="90">
        <cfvo type="num" val="0"/>
        <cfvo type="num" val="1"/>
        <color rgb="FFF4B183"/>
      </dataBar>
      <extLst>
        <ext xmlns:x14="http://schemas.microsoft.com/office/spreadsheetml/2009/9/main" uri="{B025F937-C7B1-47D3-B67F-A62EFF666E3E}">
          <x14:id>{3960595C-DF80-492A-8058-9A5F6656AD5B}</x14:id>
        </ext>
      </extLst>
    </cfRule>
  </conditionalFormatting>
  <conditionalFormatting sqref="L18">
    <cfRule type="dataBar" priority="13">
      <dataBar showValue="1" minLength="10" maxLength="90">
        <cfvo type="num" val="0"/>
        <cfvo type="num" val="1"/>
        <color rgb="FFF4B183"/>
      </dataBar>
      <extLst>
        <ext xmlns:x14="http://schemas.microsoft.com/office/spreadsheetml/2009/9/main" uri="{B025F937-C7B1-47D3-B67F-A62EFF666E3E}">
          <x14:id>{1B271135-38C8-406C-A150-50FE48596346}</x14:id>
        </ext>
      </extLst>
    </cfRule>
  </conditionalFormatting>
  <conditionalFormatting sqref="L23">
    <cfRule type="dataBar" priority="14">
      <dataBar showValue="1" minLength="10" maxLength="90">
        <cfvo type="num" val="0"/>
        <cfvo type="num" val="1"/>
        <color rgb="FFF4B183"/>
      </dataBar>
      <extLst>
        <ext xmlns:x14="http://schemas.microsoft.com/office/spreadsheetml/2009/9/main" uri="{B025F937-C7B1-47D3-B67F-A62EFF666E3E}">
          <x14:id>{00A22612-ACFE-455B-8F9B-B421C7989FCF}</x14:id>
        </ext>
      </extLst>
    </cfRule>
  </conditionalFormatting>
  <conditionalFormatting sqref="L27:L29">
    <cfRule type="dataBar" priority="15">
      <dataBar showValue="1" minLength="10" maxLength="90">
        <cfvo type="num" val="0"/>
        <cfvo type="num" val="1"/>
        <color rgb="FFF4B183"/>
      </dataBar>
      <extLst>
        <ext xmlns:x14="http://schemas.microsoft.com/office/spreadsheetml/2009/9/main" uri="{B025F937-C7B1-47D3-B67F-A62EFF666E3E}">
          <x14:id>{30177055-19B0-47F2-9899-C9F08420C333}</x14:id>
        </ext>
      </extLst>
    </cfRule>
  </conditionalFormatting>
  <conditionalFormatting sqref="L31">
    <cfRule type="dataBar" priority="16">
      <dataBar showValue="1" minLength="10" maxLength="90">
        <cfvo type="num" val="0"/>
        <cfvo type="num" val="1"/>
        <color rgb="FFF4B183"/>
      </dataBar>
      <extLst>
        <ext xmlns:x14="http://schemas.microsoft.com/office/spreadsheetml/2009/9/main" uri="{B025F937-C7B1-47D3-B67F-A62EFF666E3E}">
          <x14:id>{196CE1B1-2325-4811-8F4A-F2D09924A48E}</x14:id>
        </ext>
      </extLst>
    </cfRule>
  </conditionalFormatting>
  <conditionalFormatting sqref="L32">
    <cfRule type="dataBar" priority="17">
      <dataBar showValue="1" minLength="10" maxLength="90">
        <cfvo type="num" val="0"/>
        <cfvo type="num" val="1"/>
        <color rgb="FFF4B183"/>
      </dataBar>
      <extLst>
        <ext xmlns:x14="http://schemas.microsoft.com/office/spreadsheetml/2009/9/main" uri="{B025F937-C7B1-47D3-B67F-A62EFF666E3E}">
          <x14:id>{F2F7F7E7-CB80-40EC-BECE-25749BC074FD}</x14:id>
        </ext>
      </extLst>
    </cfRule>
  </conditionalFormatting>
  <conditionalFormatting sqref="L33">
    <cfRule type="dataBar" priority="18">
      <dataBar showValue="1" minLength="10" maxLength="90">
        <cfvo type="num" val="0"/>
        <cfvo type="num" val="1"/>
        <color rgb="FFF4B183"/>
      </dataBar>
      <extLst>
        <ext xmlns:x14="http://schemas.microsoft.com/office/spreadsheetml/2009/9/main" uri="{B025F937-C7B1-47D3-B67F-A62EFF666E3E}">
          <x14:id>{9C5A51A0-0035-4F4C-B3C0-1EA2A59C9A2B}</x14:id>
        </ext>
      </extLst>
    </cfRule>
  </conditionalFormatting>
  <conditionalFormatting sqref="L34">
    <cfRule type="dataBar" priority="19">
      <dataBar showValue="1" minLength="10" maxLength="90">
        <cfvo type="num" val="0"/>
        <cfvo type="num" val="1"/>
        <color rgb="FFF4B183"/>
      </dataBar>
      <extLst>
        <ext xmlns:x14="http://schemas.microsoft.com/office/spreadsheetml/2009/9/main" uri="{B025F937-C7B1-47D3-B67F-A62EFF666E3E}">
          <x14:id>{C97EB611-BCF9-4716-A25C-A473A5BB70BC}</x14:id>
        </ext>
      </extLst>
    </cfRule>
  </conditionalFormatting>
  <conditionalFormatting sqref="L35">
    <cfRule type="dataBar" priority="20">
      <dataBar showValue="1" minLength="10" maxLength="90">
        <cfvo type="num" val="0"/>
        <cfvo type="num" val="1"/>
        <color rgb="FFF4B183"/>
      </dataBar>
      <extLst>
        <ext xmlns:x14="http://schemas.microsoft.com/office/spreadsheetml/2009/9/main" uri="{B025F937-C7B1-47D3-B67F-A62EFF666E3E}">
          <x14:id>{C019F057-B5A1-4637-BAFC-7AF95AD5B52A}</x14:id>
        </ext>
      </extLst>
    </cfRule>
  </conditionalFormatting>
  <conditionalFormatting sqref="P24">
    <cfRule type="dataBar" priority="21">
      <dataBar showValue="1" minLength="10" maxLength="90">
        <cfvo type="min" val="0"/>
        <cfvo type="max" val="0"/>
        <color rgb="FF008AEF"/>
      </dataBar>
      <extLst>
        <ext xmlns:x14="http://schemas.microsoft.com/office/spreadsheetml/2009/9/main" uri="{B025F937-C7B1-47D3-B67F-A62EFF666E3E}">
          <x14:id>{E7352FE0-F8DB-482E-ABE7-EACE176D1C97}</x14:id>
        </ext>
      </extLst>
    </cfRule>
    <cfRule type="dataBar" priority="22">
      <dataBar showValue="1" minLength="10" maxLength="90">
        <cfvo type="min" val="0"/>
        <cfvo type="max" val="0"/>
        <color rgb="FFFBE5D6"/>
      </dataBar>
      <extLst>
        <ext xmlns:x14="http://schemas.microsoft.com/office/spreadsheetml/2009/9/main" uri="{B025F937-C7B1-47D3-B67F-A62EFF666E3E}">
          <x14:id>{FC7DF0C0-E981-45ED-AE96-40794388B398}</x14:id>
        </ext>
      </extLst>
    </cfRule>
    <cfRule type="dataBar" priority="23">
      <dataBar showValue="1" minLength="10" maxLength="90">
        <cfvo type="min" val="0"/>
        <cfvo type="max" val="0"/>
        <color rgb="FFFFF2CC"/>
      </dataBar>
      <extLst>
        <ext xmlns:x14="http://schemas.microsoft.com/office/spreadsheetml/2009/9/main" uri="{B025F937-C7B1-47D3-B67F-A62EFF666E3E}">
          <x14:id>{2A23DCDA-90CD-48D1-922A-4263A95AE9E0}</x14:id>
        </ext>
      </extLst>
    </cfRule>
    <cfRule type="dataBar" priority="24">
      <dataBar showValue="1" minLength="10" maxLength="90">
        <cfvo type="min" val="0"/>
        <cfvo type="max" val="0"/>
        <color rgb="FFFBE5D6"/>
      </dataBar>
      <extLst>
        <ext xmlns:x14="http://schemas.microsoft.com/office/spreadsheetml/2009/9/main" uri="{B025F937-C7B1-47D3-B67F-A62EFF666E3E}">
          <x14:id>{EF75761F-8283-48EA-B8C1-BBBE66EC1836}</x14:id>
        </ext>
      </extLst>
    </cfRule>
    <cfRule type="dataBar" priority="25">
      <dataBar showValue="1" minLength="10" maxLength="90">
        <cfvo type="min" val="0"/>
        <cfvo type="max" val="0"/>
        <color rgb="FFFFF2CC"/>
      </dataBar>
      <extLst>
        <ext xmlns:x14="http://schemas.microsoft.com/office/spreadsheetml/2009/9/main" uri="{B025F937-C7B1-47D3-B67F-A62EFF666E3E}">
          <x14:id>{AA58ECD3-2EC4-4740-A755-7250B3C0CBE5}</x14:id>
        </ext>
      </extLst>
    </cfRule>
    <cfRule type="dataBar" priority="26">
      <dataBar showValue="1" minLength="10" maxLength="90">
        <cfvo type="min" val="0"/>
        <cfvo type="max" val="0"/>
        <color rgb="FFFBE5D6"/>
      </dataBar>
      <extLst>
        <ext xmlns:x14="http://schemas.microsoft.com/office/spreadsheetml/2009/9/main" uri="{B025F937-C7B1-47D3-B67F-A62EFF666E3E}">
          <x14:id>{322E7FCF-C362-4E41-AC49-63C161D25CD5}</x14:id>
        </ext>
      </extLst>
    </cfRule>
  </conditionalFormatting>
  <conditionalFormatting sqref="P25">
    <cfRule type="dataBar" priority="27">
      <dataBar showValue="1" minLength="10" maxLength="90">
        <cfvo type="min" val="0"/>
        <cfvo type="max" val="0"/>
        <color rgb="FF008AEF"/>
      </dataBar>
      <extLst>
        <ext xmlns:x14="http://schemas.microsoft.com/office/spreadsheetml/2009/9/main" uri="{B025F937-C7B1-47D3-B67F-A62EFF666E3E}">
          <x14:id>{9CA37EC0-ADC8-4B46-AD7E-5EFED5D9FC3A}</x14:id>
        </ext>
      </extLst>
    </cfRule>
    <cfRule type="dataBar" priority="28">
      <dataBar showValue="1" minLength="10" maxLength="90">
        <cfvo type="min" val="0"/>
        <cfvo type="max" val="0"/>
        <color rgb="FFFBE5D6"/>
      </dataBar>
      <extLst>
        <ext xmlns:x14="http://schemas.microsoft.com/office/spreadsheetml/2009/9/main" uri="{B025F937-C7B1-47D3-B67F-A62EFF666E3E}">
          <x14:id>{C8BCD6AB-4079-4470-807F-C979A387CF46}</x14:id>
        </ext>
      </extLst>
    </cfRule>
    <cfRule type="dataBar" priority="29">
      <dataBar showValue="1" minLength="10" maxLength="90">
        <cfvo type="min" val="0"/>
        <cfvo type="max" val="0"/>
        <color rgb="FFFFF2CC"/>
      </dataBar>
      <extLst>
        <ext xmlns:x14="http://schemas.microsoft.com/office/spreadsheetml/2009/9/main" uri="{B025F937-C7B1-47D3-B67F-A62EFF666E3E}">
          <x14:id>{2549EE7D-C28C-4130-959F-1542F5EA61C8}</x14:id>
        </ext>
      </extLst>
    </cfRule>
    <cfRule type="dataBar" priority="30">
      <dataBar showValue="1" minLength="10" maxLength="90">
        <cfvo type="min" val="0"/>
        <cfvo type="max" val="0"/>
        <color rgb="FFFBE5D6"/>
      </dataBar>
      <extLst>
        <ext xmlns:x14="http://schemas.microsoft.com/office/spreadsheetml/2009/9/main" uri="{B025F937-C7B1-47D3-B67F-A62EFF666E3E}">
          <x14:id>{622A9CC5-DFBC-4095-AA73-94752BB5398F}</x14:id>
        </ext>
      </extLst>
    </cfRule>
    <cfRule type="dataBar" priority="31">
      <dataBar showValue="1" minLength="10" maxLength="90">
        <cfvo type="min" val="0"/>
        <cfvo type="max" val="0"/>
        <color rgb="FFFFF2CC"/>
      </dataBar>
      <extLst>
        <ext xmlns:x14="http://schemas.microsoft.com/office/spreadsheetml/2009/9/main" uri="{B025F937-C7B1-47D3-B67F-A62EFF666E3E}">
          <x14:id>{A31EDA75-6F78-4076-8A12-D7C5538C7C57}</x14:id>
        </ext>
      </extLst>
    </cfRule>
    <cfRule type="dataBar" priority="32">
      <dataBar showValue="1" minLength="10" maxLength="90">
        <cfvo type="min" val="0"/>
        <cfvo type="max" val="0"/>
        <color rgb="FFFBE5D6"/>
      </dataBar>
      <extLst>
        <ext xmlns:x14="http://schemas.microsoft.com/office/spreadsheetml/2009/9/main" uri="{B025F937-C7B1-47D3-B67F-A62EFF666E3E}">
          <x14:id>{9F9FBC6D-BAC0-4549-846A-75A82CC6908D}</x14:id>
        </ext>
      </extLst>
    </cfRule>
  </conditionalFormatting>
  <conditionalFormatting sqref="P8:R8">
    <cfRule type="dataBar" priority="33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{32EDFF81-9663-42A2-B21D-255A2B40C0D5}</x14:id>
        </ext>
      </extLst>
    </cfRule>
    <cfRule type="dataBar" priority="34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{40AA0064-AD38-4F3A-B4EF-5B391EBAA74F}</x14:id>
        </ext>
      </extLst>
    </cfRule>
    <cfRule type="dataBar" priority="35">
      <dataBar showValue="1" minLength="10" maxLength="90">
        <cfvo type="min" val="0"/>
        <cfvo type="max" val="0"/>
        <color rgb="FFBDD7EE"/>
      </dataBar>
      <extLst>
        <ext xmlns:x14="http://schemas.microsoft.com/office/spreadsheetml/2009/9/main" uri="{B025F937-C7B1-47D3-B67F-A62EFF666E3E}">
          <x14:id>{FFBE6840-DF80-42EF-BFE9-BC6DE4532747}</x14:id>
        </ext>
      </extLst>
    </cfRule>
    <cfRule type="dataBar" priority="36">
      <dataBar showValue="1" minLength="10" maxLength="90">
        <cfvo type="min" val="0"/>
        <cfvo type="max" val="0"/>
        <color rgb="FFB4C7E7"/>
      </dataBar>
      <extLst>
        <ext xmlns:x14="http://schemas.microsoft.com/office/spreadsheetml/2009/9/main" uri="{B025F937-C7B1-47D3-B67F-A62EFF666E3E}">
          <x14:id>{E5A8D017-5FD8-4C4E-A33E-71686B79EA6A}</x14:id>
        </ext>
      </extLst>
    </cfRule>
  </conditionalFormatting>
  <conditionalFormatting sqref="P9:R9">
    <cfRule type="dataBar" priority="37">
      <dataBar showValue="1" minLength="10" maxLength="90">
        <cfvo type="min" val="0"/>
        <cfvo type="max" val="0"/>
        <color rgb="FF008AEF"/>
      </dataBar>
      <extLst>
        <ext xmlns:x14="http://schemas.microsoft.com/office/spreadsheetml/2009/9/main" uri="{B025F937-C7B1-47D3-B67F-A62EFF666E3E}">
          <x14:id>{27E1D9BC-C357-4865-807C-5BBE8FB45CB9}</x14:id>
        </ext>
      </extLst>
    </cfRule>
    <cfRule type="dataBar" priority="38">
      <dataBar showValue="1" minLength="10" maxLength="90">
        <cfvo type="min" val="0"/>
        <cfvo type="max" val="0"/>
        <color rgb="FFFBE5D6"/>
      </dataBar>
      <extLst>
        <ext xmlns:x14="http://schemas.microsoft.com/office/spreadsheetml/2009/9/main" uri="{B025F937-C7B1-47D3-B67F-A62EFF666E3E}">
          <x14:id>{BBEB5D8B-9B8D-44CF-AABD-87805420C3D6}</x14:id>
        </ext>
      </extLst>
    </cfRule>
    <cfRule type="dataBar" priority="39">
      <dataBar showValue="1" minLength="10" maxLength="90">
        <cfvo type="min" val="0"/>
        <cfvo type="max" val="0"/>
        <color rgb="FFFFF2CC"/>
      </dataBar>
      <extLst>
        <ext xmlns:x14="http://schemas.microsoft.com/office/spreadsheetml/2009/9/main" uri="{B025F937-C7B1-47D3-B67F-A62EFF666E3E}">
          <x14:id>{5C9C6C90-ECCB-491D-80C1-5F529CC0E6A7}</x14:id>
        </ext>
      </extLst>
    </cfRule>
    <cfRule type="dataBar" priority="40">
      <dataBar showValue="1" minLength="10" maxLength="90">
        <cfvo type="min" val="0"/>
        <cfvo type="max" val="0"/>
        <color rgb="FFFBE5D6"/>
      </dataBar>
      <extLst>
        <ext xmlns:x14="http://schemas.microsoft.com/office/spreadsheetml/2009/9/main" uri="{B025F937-C7B1-47D3-B67F-A62EFF666E3E}">
          <x14:id>{943BD495-F6F4-4455-9740-66A35FDC40ED}</x14:id>
        </ext>
      </extLst>
    </cfRule>
    <cfRule type="dataBar" priority="41">
      <dataBar showValue="1" minLength="10" maxLength="90">
        <cfvo type="min" val="0"/>
        <cfvo type="max" val="0"/>
        <color rgb="FFFFF2CC"/>
      </dataBar>
      <extLst>
        <ext xmlns:x14="http://schemas.microsoft.com/office/spreadsheetml/2009/9/main" uri="{B025F937-C7B1-47D3-B67F-A62EFF666E3E}">
          <x14:id>{83FCDDFC-5FB9-484D-80B2-57E19140E9B0}</x14:id>
        </ext>
      </extLst>
    </cfRule>
    <cfRule type="dataBar" priority="42">
      <dataBar showValue="1" minLength="10" maxLength="90">
        <cfvo type="min" val="0"/>
        <cfvo type="max" val="0"/>
        <color rgb="FFFBE5D6"/>
      </dataBar>
      <extLst>
        <ext xmlns:x14="http://schemas.microsoft.com/office/spreadsheetml/2009/9/main" uri="{B025F937-C7B1-47D3-B67F-A62EFF666E3E}">
          <x14:id>{50503AE0-C015-4E49-B6B7-B9A6307EE36C}</x14:id>
        </ext>
      </extLst>
    </cfRule>
  </conditionalFormatting>
  <conditionalFormatting sqref="P18:R18 P8:R8">
    <cfRule type="dataBar" priority="43">
      <dataBar showValue="1" minLength="10" maxLength="90">
        <cfvo type="min" val="0"/>
        <cfvo type="max" val="0"/>
        <color rgb="FF008AEF"/>
      </dataBar>
      <extLst>
        <ext xmlns:x14="http://schemas.microsoft.com/office/spreadsheetml/2009/9/main" uri="{B025F937-C7B1-47D3-B67F-A62EFF666E3E}">
          <x14:id>{866371B5-FCD1-4E3C-A23A-1BBA34B544C6}</x14:id>
        </ext>
      </extLst>
    </cfRule>
    <cfRule type="dataBar" priority="44">
      <dataBar showValue="1" minLength="10" maxLength="90">
        <cfvo type="min" val="0"/>
        <cfvo type="max" val="0"/>
        <color rgb="FFFBE5D6"/>
      </dataBar>
      <extLst>
        <ext xmlns:x14="http://schemas.microsoft.com/office/spreadsheetml/2009/9/main" uri="{B025F937-C7B1-47D3-B67F-A62EFF666E3E}">
          <x14:id>{CB8FB26A-7F69-4FF9-8B9E-E15CC7EAB0C7}</x14:id>
        </ext>
      </extLst>
    </cfRule>
    <cfRule type="dataBar" priority="45">
      <dataBar showValue="1" minLength="10" maxLength="90">
        <cfvo type="min" val="0"/>
        <cfvo type="max" val="0"/>
        <color rgb="FFFFF2CC"/>
      </dataBar>
      <extLst>
        <ext xmlns:x14="http://schemas.microsoft.com/office/spreadsheetml/2009/9/main" uri="{B025F937-C7B1-47D3-B67F-A62EFF666E3E}">
          <x14:id>{EF2054AF-D3E9-4094-B6F6-6C156F7BD921}</x14:id>
        </ext>
      </extLst>
    </cfRule>
    <cfRule type="dataBar" priority="46">
      <dataBar showValue="1" minLength="10" maxLength="90">
        <cfvo type="min" val="0"/>
        <cfvo type="max" val="0"/>
        <color rgb="FFFBE5D6"/>
      </dataBar>
      <extLst>
        <ext xmlns:x14="http://schemas.microsoft.com/office/spreadsheetml/2009/9/main" uri="{B025F937-C7B1-47D3-B67F-A62EFF666E3E}">
          <x14:id>{A72E70BE-36C2-4342-82CE-99725386CEEF}</x14:id>
        </ext>
      </extLst>
    </cfRule>
    <cfRule type="dataBar" priority="47">
      <dataBar showValue="1" minLength="10" maxLength="90">
        <cfvo type="min" val="0"/>
        <cfvo type="max" val="0"/>
        <color rgb="FFFFF2CC"/>
      </dataBar>
      <extLst>
        <ext xmlns:x14="http://schemas.microsoft.com/office/spreadsheetml/2009/9/main" uri="{B025F937-C7B1-47D3-B67F-A62EFF666E3E}">
          <x14:id>{84FE6D48-B7B0-43E5-9A4B-F3144068ED5A}</x14:id>
        </ext>
      </extLst>
    </cfRule>
    <cfRule type="dataBar" priority="48">
      <dataBar showValue="1" minLength="10" maxLength="90">
        <cfvo type="min" val="0"/>
        <cfvo type="max" val="0"/>
        <color rgb="FFFBE5D6"/>
      </dataBar>
      <extLst>
        <ext xmlns:x14="http://schemas.microsoft.com/office/spreadsheetml/2009/9/main" uri="{B025F937-C7B1-47D3-B67F-A62EFF666E3E}">
          <x14:id>{2FD14648-8988-4A82-A680-B0C4BAAB65EC}</x14:id>
        </ext>
      </extLst>
    </cfRule>
  </conditionalFormatting>
  <conditionalFormatting sqref="P23:R23 Q24:R24">
    <cfRule type="dataBar" priority="49">
      <dataBar showValue="1" minLength="10" maxLength="90">
        <cfvo type="min" val="0"/>
        <cfvo type="max" val="0"/>
        <color rgb="FF008AEF"/>
      </dataBar>
      <extLst>
        <ext xmlns:x14="http://schemas.microsoft.com/office/spreadsheetml/2009/9/main" uri="{B025F937-C7B1-47D3-B67F-A62EFF666E3E}">
          <x14:id>{361D7A36-FFD2-40C6-A042-18AFFCFAD6B7}</x14:id>
        </ext>
      </extLst>
    </cfRule>
    <cfRule type="dataBar" priority="50">
      <dataBar showValue="1" minLength="10" maxLength="90">
        <cfvo type="min" val="0"/>
        <cfvo type="max" val="0"/>
        <color rgb="FFFBE5D6"/>
      </dataBar>
      <extLst>
        <ext xmlns:x14="http://schemas.microsoft.com/office/spreadsheetml/2009/9/main" uri="{B025F937-C7B1-47D3-B67F-A62EFF666E3E}">
          <x14:id>{7D64B393-AF3A-49F3-9D10-94CD87CB2630}</x14:id>
        </ext>
      </extLst>
    </cfRule>
    <cfRule type="dataBar" priority="51">
      <dataBar showValue="1" minLength="10" maxLength="90">
        <cfvo type="min" val="0"/>
        <cfvo type="max" val="0"/>
        <color rgb="FFFFF2CC"/>
      </dataBar>
      <extLst>
        <ext xmlns:x14="http://schemas.microsoft.com/office/spreadsheetml/2009/9/main" uri="{B025F937-C7B1-47D3-B67F-A62EFF666E3E}">
          <x14:id>{6D616121-F4CD-49BC-86F6-8E10C455AC21}</x14:id>
        </ext>
      </extLst>
    </cfRule>
    <cfRule type="dataBar" priority="52">
      <dataBar showValue="1" minLength="10" maxLength="90">
        <cfvo type="min" val="0"/>
        <cfvo type="max" val="0"/>
        <color rgb="FFFBE5D6"/>
      </dataBar>
      <extLst>
        <ext xmlns:x14="http://schemas.microsoft.com/office/spreadsheetml/2009/9/main" uri="{B025F937-C7B1-47D3-B67F-A62EFF666E3E}">
          <x14:id>{632AF3AD-2E10-44F2-9324-E46E507ABF62}</x14:id>
        </ext>
      </extLst>
    </cfRule>
    <cfRule type="dataBar" priority="53">
      <dataBar showValue="1" minLength="10" maxLength="90">
        <cfvo type="min" val="0"/>
        <cfvo type="max" val="0"/>
        <color rgb="FFFFF2CC"/>
      </dataBar>
      <extLst>
        <ext xmlns:x14="http://schemas.microsoft.com/office/spreadsheetml/2009/9/main" uri="{B025F937-C7B1-47D3-B67F-A62EFF666E3E}">
          <x14:id>{7081E4BD-6E1D-4ACC-B783-D38DB85C2277}</x14:id>
        </ext>
      </extLst>
    </cfRule>
    <cfRule type="dataBar" priority="54">
      <dataBar showValue="1" minLength="10" maxLength="90">
        <cfvo type="min" val="0"/>
        <cfvo type="max" val="0"/>
        <color rgb="FFFBE5D6"/>
      </dataBar>
      <extLst>
        <ext xmlns:x14="http://schemas.microsoft.com/office/spreadsheetml/2009/9/main" uri="{B025F937-C7B1-47D3-B67F-A62EFF666E3E}">
          <x14:id>{2A1F43CD-F781-4E80-A2C9-00B5C263E0C7}</x14:id>
        </ext>
      </extLst>
    </cfRule>
  </conditionalFormatting>
  <conditionalFormatting sqref="P26:R26">
    <cfRule type="dataBar" priority="55">
      <dataBar showValue="1" minLength="10" maxLength="90">
        <cfvo type="min" val="0"/>
        <cfvo type="max" val="0"/>
        <color rgb="FF008AEF"/>
      </dataBar>
      <extLst>
        <ext xmlns:x14="http://schemas.microsoft.com/office/spreadsheetml/2009/9/main" uri="{B025F937-C7B1-47D3-B67F-A62EFF666E3E}">
          <x14:id>{16FA789E-C849-4310-826C-358FD491F348}</x14:id>
        </ext>
      </extLst>
    </cfRule>
    <cfRule type="dataBar" priority="56">
      <dataBar showValue="1" minLength="10" maxLength="90">
        <cfvo type="min" val="0"/>
        <cfvo type="max" val="0"/>
        <color rgb="FFFBE5D6"/>
      </dataBar>
      <extLst>
        <ext xmlns:x14="http://schemas.microsoft.com/office/spreadsheetml/2009/9/main" uri="{B025F937-C7B1-47D3-B67F-A62EFF666E3E}">
          <x14:id>{3D1FE761-FFB0-4C33-BE6B-7C772DA7B11A}</x14:id>
        </ext>
      </extLst>
    </cfRule>
    <cfRule type="dataBar" priority="57">
      <dataBar showValue="1" minLength="10" maxLength="90">
        <cfvo type="min" val="0"/>
        <cfvo type="max" val="0"/>
        <color rgb="FFFFF2CC"/>
      </dataBar>
      <extLst>
        <ext xmlns:x14="http://schemas.microsoft.com/office/spreadsheetml/2009/9/main" uri="{B025F937-C7B1-47D3-B67F-A62EFF666E3E}">
          <x14:id>{DE1D4E85-EDC6-466E-91B3-5253FFF130E5}</x14:id>
        </ext>
      </extLst>
    </cfRule>
    <cfRule type="dataBar" priority="58">
      <dataBar showValue="1" minLength="10" maxLength="90">
        <cfvo type="min" val="0"/>
        <cfvo type="max" val="0"/>
        <color rgb="FFFBE5D6"/>
      </dataBar>
      <extLst>
        <ext xmlns:x14="http://schemas.microsoft.com/office/spreadsheetml/2009/9/main" uri="{B025F937-C7B1-47D3-B67F-A62EFF666E3E}">
          <x14:id>{BF808F13-F77F-4648-AB42-F7102DB594EC}</x14:id>
        </ext>
      </extLst>
    </cfRule>
    <cfRule type="dataBar" priority="59">
      <dataBar showValue="1" minLength="10" maxLength="90">
        <cfvo type="min" val="0"/>
        <cfvo type="max" val="0"/>
        <color rgb="FFFFF2CC"/>
      </dataBar>
      <extLst>
        <ext xmlns:x14="http://schemas.microsoft.com/office/spreadsheetml/2009/9/main" uri="{B025F937-C7B1-47D3-B67F-A62EFF666E3E}">
          <x14:id>{43716BEF-8155-4671-A8D0-EB5CA312BA6C}</x14:id>
        </ext>
      </extLst>
    </cfRule>
    <cfRule type="dataBar" priority="60">
      <dataBar showValue="1" minLength="10" maxLength="90">
        <cfvo type="min" val="0"/>
        <cfvo type="max" val="0"/>
        <color rgb="FFFBE5D6"/>
      </dataBar>
      <extLst>
        <ext xmlns:x14="http://schemas.microsoft.com/office/spreadsheetml/2009/9/main" uri="{B025F937-C7B1-47D3-B67F-A62EFF666E3E}">
          <x14:id>{5B1578A0-4053-49F6-B978-BBD6CE40BD8F}</x14:id>
        </ext>
      </extLst>
    </cfRule>
  </conditionalFormatting>
  <conditionalFormatting sqref="P35:R35">
    <cfRule type="dataBar" priority="61">
      <dataBar showValue="1" minLength="10" maxLength="90">
        <cfvo type="min" val="0"/>
        <cfvo type="max" val="0"/>
        <color rgb="FF008AEF"/>
      </dataBar>
      <extLst>
        <ext xmlns:x14="http://schemas.microsoft.com/office/spreadsheetml/2009/9/main" uri="{B025F937-C7B1-47D3-B67F-A62EFF666E3E}">
          <x14:id>{633EDF5F-D495-4291-9BD7-B8683CCBE79F}</x14:id>
        </ext>
      </extLst>
    </cfRule>
    <cfRule type="dataBar" priority="62">
      <dataBar showValue="1" minLength="10" maxLength="90">
        <cfvo type="min" val="0"/>
        <cfvo type="max" val="0"/>
        <color rgb="FFFBE5D6"/>
      </dataBar>
      <extLst>
        <ext xmlns:x14="http://schemas.microsoft.com/office/spreadsheetml/2009/9/main" uri="{B025F937-C7B1-47D3-B67F-A62EFF666E3E}">
          <x14:id>{1C5F9128-90C0-4A87-88FE-7535D986A9B6}</x14:id>
        </ext>
      </extLst>
    </cfRule>
    <cfRule type="dataBar" priority="63">
      <dataBar showValue="1" minLength="10" maxLength="90">
        <cfvo type="min" val="0"/>
        <cfvo type="max" val="0"/>
        <color rgb="FFFFF2CC"/>
      </dataBar>
      <extLst>
        <ext xmlns:x14="http://schemas.microsoft.com/office/spreadsheetml/2009/9/main" uri="{B025F937-C7B1-47D3-B67F-A62EFF666E3E}">
          <x14:id>{79EA2D8F-B92A-4FBD-9C60-ACCF7BFECD39}</x14:id>
        </ext>
      </extLst>
    </cfRule>
    <cfRule type="dataBar" priority="64">
      <dataBar showValue="1" minLength="10" maxLength="90">
        <cfvo type="min" val="0"/>
        <cfvo type="max" val="0"/>
        <color rgb="FFFBE5D6"/>
      </dataBar>
      <extLst>
        <ext xmlns:x14="http://schemas.microsoft.com/office/spreadsheetml/2009/9/main" uri="{B025F937-C7B1-47D3-B67F-A62EFF666E3E}">
          <x14:id>{6563B097-6B62-4CD9-91BA-F8136270AA59}</x14:id>
        </ext>
      </extLst>
    </cfRule>
    <cfRule type="dataBar" priority="65">
      <dataBar showValue="1" minLength="10" maxLength="90">
        <cfvo type="min" val="0"/>
        <cfvo type="max" val="0"/>
        <color rgb="FFFFF2CC"/>
      </dataBar>
      <extLst>
        <ext xmlns:x14="http://schemas.microsoft.com/office/spreadsheetml/2009/9/main" uri="{B025F937-C7B1-47D3-B67F-A62EFF666E3E}">
          <x14:id>{3525EB63-3D80-4B56-8EB6-9D2D4F81B054}</x14:id>
        </ext>
      </extLst>
    </cfRule>
    <cfRule type="dataBar" priority="66">
      <dataBar showValue="1" minLength="10" maxLength="90">
        <cfvo type="min" val="0"/>
        <cfvo type="max" val="0"/>
        <color rgb="FFFBE5D6"/>
      </dataBar>
      <extLst>
        <ext xmlns:x14="http://schemas.microsoft.com/office/spreadsheetml/2009/9/main" uri="{B025F937-C7B1-47D3-B67F-A62EFF666E3E}">
          <x14:id>{4026651E-BBA2-4AA1-A77F-9940B240A1B5}</x14:id>
        </ext>
      </extLst>
    </cfRule>
  </conditionalFormatting>
  <conditionalFormatting sqref="Q25:R25">
    <cfRule type="dataBar" priority="67">
      <dataBar showValue="1" minLength="10" maxLength="90">
        <cfvo type="min" val="0"/>
        <cfvo type="max" val="0"/>
        <color rgb="FF008AEF"/>
      </dataBar>
      <extLst>
        <ext xmlns:x14="http://schemas.microsoft.com/office/spreadsheetml/2009/9/main" uri="{B025F937-C7B1-47D3-B67F-A62EFF666E3E}">
          <x14:id>{F3DF9447-DF94-408A-A612-F68230BACBB2}</x14:id>
        </ext>
      </extLst>
    </cfRule>
    <cfRule type="dataBar" priority="68">
      <dataBar showValue="1" minLength="10" maxLength="90">
        <cfvo type="min" val="0"/>
        <cfvo type="max" val="0"/>
        <color rgb="FFFBE5D6"/>
      </dataBar>
      <extLst>
        <ext xmlns:x14="http://schemas.microsoft.com/office/spreadsheetml/2009/9/main" uri="{B025F937-C7B1-47D3-B67F-A62EFF666E3E}">
          <x14:id>{AB5DF2CA-D133-4D50-A718-50ED85DEF548}</x14:id>
        </ext>
      </extLst>
    </cfRule>
    <cfRule type="dataBar" priority="69">
      <dataBar showValue="1" minLength="10" maxLength="90">
        <cfvo type="min" val="0"/>
        <cfvo type="max" val="0"/>
        <color rgb="FFFFF2CC"/>
      </dataBar>
      <extLst>
        <ext xmlns:x14="http://schemas.microsoft.com/office/spreadsheetml/2009/9/main" uri="{B025F937-C7B1-47D3-B67F-A62EFF666E3E}">
          <x14:id>{D140142B-2B4C-48A1-BAE6-47B3DE5B3D99}</x14:id>
        </ext>
      </extLst>
    </cfRule>
    <cfRule type="dataBar" priority="70">
      <dataBar showValue="1" minLength="10" maxLength="90">
        <cfvo type="min" val="0"/>
        <cfvo type="max" val="0"/>
        <color rgb="FFFBE5D6"/>
      </dataBar>
      <extLst>
        <ext xmlns:x14="http://schemas.microsoft.com/office/spreadsheetml/2009/9/main" uri="{B025F937-C7B1-47D3-B67F-A62EFF666E3E}">
          <x14:id>{9FA9BE94-855F-4DB7-AC8E-3B17BB1958E3}</x14:id>
        </ext>
      </extLst>
    </cfRule>
    <cfRule type="dataBar" priority="71">
      <dataBar showValue="1" minLength="10" maxLength="90">
        <cfvo type="min" val="0"/>
        <cfvo type="max" val="0"/>
        <color rgb="FFFFF2CC"/>
      </dataBar>
      <extLst>
        <ext xmlns:x14="http://schemas.microsoft.com/office/spreadsheetml/2009/9/main" uri="{B025F937-C7B1-47D3-B67F-A62EFF666E3E}">
          <x14:id>{B78F477B-7E5A-4A8E-8840-6578A66D1A6D}</x14:id>
        </ext>
      </extLst>
    </cfRule>
    <cfRule type="dataBar" priority="72">
      <dataBar showValue="1" minLength="10" maxLength="90">
        <cfvo type="min" val="0"/>
        <cfvo type="max" val="0"/>
        <color rgb="FFFBE5D6"/>
      </dataBar>
      <extLst>
        <ext xmlns:x14="http://schemas.microsoft.com/office/spreadsheetml/2009/9/main" uri="{B025F937-C7B1-47D3-B67F-A62EFF666E3E}">
          <x14:id>{F61B5D3D-C37E-49AB-8159-184AD892C862}</x14:id>
        </ext>
      </extLst>
    </cfRule>
  </conditionalFormatting>
  <dataValidations count="4">
    <dataValidation allowBlank="true" operator="between" showDropDown="false" showErrorMessage="true" showInputMessage="true" sqref="C36:C1036" type="list">
      <formula1>$T$19:$T$22</formula1>
      <formula2>0</formula2>
    </dataValidation>
    <dataValidation allowBlank="true" operator="between" showDropDown="false" showErrorMessage="true" showInputMessage="true" sqref="O23:O24" type="list">
      <formula1>$S$18:$S$22</formula1>
      <formula2>0</formula2>
    </dataValidation>
    <dataValidation allowBlank="true" operator="between" showDropDown="false" showErrorMessage="true" showInputMessage="true" sqref="C9 C18 C23:C35" type="list">
      <formula1>$W$18:$W$22</formula1>
      <formula2>0</formula2>
    </dataValidation>
    <dataValidation allowBlank="true" operator="between" showDropDown="false" showErrorMessage="true" showInputMessage="true" sqref="O36:O1036" type="list">
      <formula1>$P$19:$P$22</formula1>
      <formula2>0</formula2>
    </dataValidation>
  </dataValidations>
  <printOptions headings="false" gridLines="false" gridLinesSet="true" horizontalCentered="true" verticalCentered="false"/>
  <pageMargins left="0" right="0" top="0.25" bottom="0.25" header="0.511805555555555" footer="0"/>
  <pageSetup paperSize="8" scale="100" firstPageNumber="0" fitToWidth="1" fitToHeight="0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>&amp;L&amp;"Arial,Italic"PJ-P03-F04(18-06-2020)&amp;R&amp;"Arial,Italic"Page &amp;P of &amp;N</oddFooter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9767951-5740-486B-A8F4-523D86A1AFEB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K9 K30</xm:sqref>
        </x14:conditionalFormatting>
        <x14:conditionalFormatting xmlns:xm="http://schemas.microsoft.com/office/excel/2006/main">
          <x14:cfRule type="dataBar" id="{42AC6B48-362D-49D4-8151-50AB827A99DA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K18</xm:sqref>
        </x14:conditionalFormatting>
        <x14:conditionalFormatting xmlns:xm="http://schemas.microsoft.com/office/excel/2006/main">
          <x14:cfRule type="dataBar" id="{96F5AC49-2099-4F5A-BFB9-96591D328D62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K23</xm:sqref>
        </x14:conditionalFormatting>
        <x14:conditionalFormatting xmlns:xm="http://schemas.microsoft.com/office/excel/2006/main">
          <x14:cfRule type="dataBar" id="{A0ADB539-1115-475F-AD4D-705338AC272D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K27:K29 K8</xm:sqref>
        </x14:conditionalFormatting>
        <x14:conditionalFormatting xmlns:xm="http://schemas.microsoft.com/office/excel/2006/main">
          <x14:cfRule type="dataBar" id="{C9222EE0-D553-4DCB-B353-5DBA1940D59C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K31</xm:sqref>
        </x14:conditionalFormatting>
        <x14:conditionalFormatting xmlns:xm="http://schemas.microsoft.com/office/excel/2006/main">
          <x14:cfRule type="dataBar" id="{F350D5A7-89E0-42A3-B1E0-8549218D75C3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K32</xm:sqref>
        </x14:conditionalFormatting>
        <x14:conditionalFormatting xmlns:xm="http://schemas.microsoft.com/office/excel/2006/main">
          <x14:cfRule type="dataBar" id="{CBD0B4C2-EE91-4056-A62C-CBF8C1E525D9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K33</xm:sqref>
        </x14:conditionalFormatting>
        <x14:conditionalFormatting xmlns:xm="http://schemas.microsoft.com/office/excel/2006/main">
          <x14:cfRule type="dataBar" id="{7FAEBB42-CA48-4529-B116-B88C354232BA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K34</xm:sqref>
        </x14:conditionalFormatting>
        <x14:conditionalFormatting xmlns:xm="http://schemas.microsoft.com/office/excel/2006/main">
          <x14:cfRule type="dataBar" id="{22FD72BE-7215-4290-AB87-109F132E3925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K35</xm:sqref>
        </x14:conditionalFormatting>
        <x14:conditionalFormatting xmlns:xm="http://schemas.microsoft.com/office/excel/2006/main">
          <x14:cfRule type="dataBar" id="{BE2FF2F2-1860-4EAE-813F-70AFAC904CB1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L8 L30</xm:sqref>
        </x14:conditionalFormatting>
        <x14:conditionalFormatting xmlns:xm="http://schemas.microsoft.com/office/excel/2006/main">
          <x14:cfRule type="dataBar" id="{3960595C-DF80-492A-8058-9A5F6656AD5B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1B271135-38C8-406C-A150-50FE48596346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00A22612-ACFE-455B-8F9B-B421C7989FCF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30177055-19B0-47F2-9899-C9F08420C333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L27:L29</xm:sqref>
        </x14:conditionalFormatting>
        <x14:conditionalFormatting xmlns:xm="http://schemas.microsoft.com/office/excel/2006/main">
          <x14:cfRule type="dataBar" id="{196CE1B1-2325-4811-8F4A-F2D09924A48E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L31</xm:sqref>
        </x14:conditionalFormatting>
        <x14:conditionalFormatting xmlns:xm="http://schemas.microsoft.com/office/excel/2006/main">
          <x14:cfRule type="dataBar" id="{F2F7F7E7-CB80-40EC-BECE-25749BC074FD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L32</xm:sqref>
        </x14:conditionalFormatting>
        <x14:conditionalFormatting xmlns:xm="http://schemas.microsoft.com/office/excel/2006/main">
          <x14:cfRule type="dataBar" id="{9C5A51A0-0035-4F4C-B3C0-1EA2A59C9A2B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C97EB611-BCF9-4716-A25C-A473A5BB70BC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L34</xm:sqref>
        </x14:conditionalFormatting>
        <x14:conditionalFormatting xmlns:xm="http://schemas.microsoft.com/office/excel/2006/main">
          <x14:cfRule type="dataBar" id="{C019F057-B5A1-4637-BAFC-7AF95AD5B52A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L35</xm:sqref>
        </x14:conditionalFormatting>
        <x14:conditionalFormatting xmlns:xm="http://schemas.microsoft.com/office/excel/2006/main">
          <x14:cfRule type="dataBar" id="{E7352FE0-F8DB-482E-ABE7-EACE176D1C97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14:cfRule type="dataBar" id="{FC7DF0C0-E981-45ED-AE96-40794388B398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14:cfRule type="dataBar" id="{2A23DCDA-90CD-48D1-922A-4263A95AE9E0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14:cfRule type="dataBar" id="{EF75761F-8283-48EA-B8C1-BBBE66EC1836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14:cfRule type="dataBar" id="{AA58ECD3-2EC4-4740-A755-7250B3C0CBE5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14:cfRule type="dataBar" id="{322E7FCF-C362-4E41-AC49-63C161D25CD5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P24</xm:sqref>
        </x14:conditionalFormatting>
        <x14:conditionalFormatting xmlns:xm="http://schemas.microsoft.com/office/excel/2006/main">
          <x14:cfRule type="dataBar" id="{9CA37EC0-ADC8-4B46-AD7E-5EFED5D9FC3A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14:cfRule type="dataBar" id="{C8BCD6AB-4079-4470-807F-C979A387CF46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14:cfRule type="dataBar" id="{2549EE7D-C28C-4130-959F-1542F5EA61C8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14:cfRule type="dataBar" id="{622A9CC5-DFBC-4095-AA73-94752BB5398F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14:cfRule type="dataBar" id="{A31EDA75-6F78-4076-8A12-D7C5538C7C57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14:cfRule type="dataBar" id="{9F9FBC6D-BAC0-4549-846A-75A82CC6908D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P25</xm:sqref>
        </x14:conditionalFormatting>
        <x14:conditionalFormatting xmlns:xm="http://schemas.microsoft.com/office/excel/2006/main">
          <x14:cfRule type="dataBar" id="{32EDFF81-9663-42A2-B21D-255A2B40C0D5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14:cfRule type="dataBar" id="{40AA0064-AD38-4F3A-B4EF-5B391EBAA74F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14:cfRule type="dataBar" id="{FFBE6840-DF80-42EF-BFE9-BC6DE4532747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14:cfRule type="dataBar" id="{E5A8D017-5FD8-4C4E-A33E-71686B79EA6A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P8:R8</xm:sqref>
        </x14:conditionalFormatting>
        <x14:conditionalFormatting xmlns:xm="http://schemas.microsoft.com/office/excel/2006/main">
          <x14:cfRule type="dataBar" id="{27E1D9BC-C357-4865-807C-5BBE8FB45CB9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14:cfRule type="dataBar" id="{BBEB5D8B-9B8D-44CF-AABD-87805420C3D6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14:cfRule type="dataBar" id="{5C9C6C90-ECCB-491D-80C1-5F529CC0E6A7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14:cfRule type="dataBar" id="{943BD495-F6F4-4455-9740-66A35FDC40ED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14:cfRule type="dataBar" id="{83FCDDFC-5FB9-484D-80B2-57E19140E9B0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14:cfRule type="dataBar" id="{50503AE0-C015-4E49-B6B7-B9A6307EE36C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P9:R9</xm:sqref>
        </x14:conditionalFormatting>
        <x14:conditionalFormatting xmlns:xm="http://schemas.microsoft.com/office/excel/2006/main">
          <x14:cfRule type="dataBar" id="{866371B5-FCD1-4E3C-A23A-1BBA34B544C6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14:cfRule type="dataBar" id="{CB8FB26A-7F69-4FF9-8B9E-E15CC7EAB0C7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14:cfRule type="dataBar" id="{EF2054AF-D3E9-4094-B6F6-6C156F7BD921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14:cfRule type="dataBar" id="{A72E70BE-36C2-4342-82CE-99725386CEEF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14:cfRule type="dataBar" id="{84FE6D48-B7B0-43E5-9A4B-F3144068ED5A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14:cfRule type="dataBar" id="{2FD14648-8988-4A82-A680-B0C4BAAB65EC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P18:R18 P8:R8</xm:sqref>
        </x14:conditionalFormatting>
        <x14:conditionalFormatting xmlns:xm="http://schemas.microsoft.com/office/excel/2006/main">
          <x14:cfRule type="dataBar" id="{361D7A36-FFD2-40C6-A042-18AFFCFAD6B7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14:cfRule type="dataBar" id="{7D64B393-AF3A-49F3-9D10-94CD87CB2630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14:cfRule type="dataBar" id="{6D616121-F4CD-49BC-86F6-8E10C455AC21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14:cfRule type="dataBar" id="{632AF3AD-2E10-44F2-9324-E46E507ABF62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14:cfRule type="dataBar" id="{7081E4BD-6E1D-4ACC-B783-D38DB85C2277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14:cfRule type="dataBar" id="{2A1F43CD-F781-4E80-A2C9-00B5C263E0C7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P23:R23 Q24:R24</xm:sqref>
        </x14:conditionalFormatting>
        <x14:conditionalFormatting xmlns:xm="http://schemas.microsoft.com/office/excel/2006/main">
          <x14:cfRule type="dataBar" id="{16FA789E-C849-4310-826C-358FD491F348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14:cfRule type="dataBar" id="{3D1FE761-FFB0-4C33-BE6B-7C772DA7B11A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14:cfRule type="dataBar" id="{DE1D4E85-EDC6-466E-91B3-5253FFF130E5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14:cfRule type="dataBar" id="{BF808F13-F77F-4648-AB42-F7102DB594EC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14:cfRule type="dataBar" id="{43716BEF-8155-4671-A8D0-EB5CA312BA6C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14:cfRule type="dataBar" id="{5B1578A0-4053-49F6-B978-BBD6CE40BD8F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P26:R26</xm:sqref>
        </x14:conditionalFormatting>
        <x14:conditionalFormatting xmlns:xm="http://schemas.microsoft.com/office/excel/2006/main">
          <x14:cfRule type="dataBar" id="{633EDF5F-D495-4291-9BD7-B8683CCBE79F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14:cfRule type="dataBar" id="{1C5F9128-90C0-4A87-88FE-7535D986A9B6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14:cfRule type="dataBar" id="{79EA2D8F-B92A-4FBD-9C60-ACCF7BFECD39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14:cfRule type="dataBar" id="{6563B097-6B62-4CD9-91BA-F8136270AA59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14:cfRule type="dataBar" id="{3525EB63-3D80-4B56-8EB6-9D2D4F81B054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14:cfRule type="dataBar" id="{4026651E-BBA2-4AA1-A77F-9940B240A1B5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P35:R35</xm:sqref>
        </x14:conditionalFormatting>
        <x14:conditionalFormatting xmlns:xm="http://schemas.microsoft.com/office/excel/2006/main">
          <x14:cfRule type="dataBar" id="{F3DF9447-DF94-408A-A612-F68230BACBB2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14:cfRule type="dataBar" id="{AB5DF2CA-D133-4D50-A718-50ED85DEF548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14:cfRule type="dataBar" id="{D140142B-2B4C-48A1-BAE6-47B3DE5B3D99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14:cfRule type="dataBar" id="{9FA9BE94-855F-4DB7-AC8E-3B17BB1958E3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14:cfRule type="dataBar" id="{B78F477B-7E5A-4A8E-8840-6578A66D1A6D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14:cfRule type="dataBar" id="{F61B5D3D-C37E-49AB-8159-184AD892C862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Q25:R25</xm:sqref>
        </x14:conditionalFormatting>
      </x14:conditionalFormattings>
    </ext>
  </extLst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845BFA421C6746AE492C336B3A185E" ma:contentTypeVersion="14" ma:contentTypeDescription="Create a new document." ma:contentTypeScope="" ma:versionID="000865bcf727e35c0536dea505e9ffcf">
  <xsd:schema xmlns:xsd="http://www.w3.org/2001/XMLSchema" xmlns:xs="http://www.w3.org/2001/XMLSchema" xmlns:p="http://schemas.microsoft.com/office/2006/metadata/properties" xmlns:ns2="095ff2ef-9bed-4752-80b3-3555e1d9f06c" xmlns:ns3="e4207480-a1ae-4b95-8ade-9433d9ebc6b9" targetNamespace="http://schemas.microsoft.com/office/2006/metadata/properties" ma:root="true" ma:fieldsID="ff22b6814c72a485e6912a938b69fa9c" ns2:_="" ns3:_="">
    <xsd:import namespace="095ff2ef-9bed-4752-80b3-3555e1d9f06c"/>
    <xsd:import namespace="e4207480-a1ae-4b95-8ade-9433d9ebc6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5ff2ef-9bed-4752-80b3-3555e1d9f0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2e7850e-dcac-46a0-b304-d0721f753b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07480-a1ae-4b95-8ade-9433d9ebc6b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c209b4a-3152-4ad7-b89d-478103e8ab5c}" ma:internalName="TaxCatchAll" ma:showField="CatchAllData" ma:web="e4207480-a1ae-4b95-8ade-9433d9ebc6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5ff2ef-9bed-4752-80b3-3555e1d9f06c">
      <Terms xmlns="http://schemas.microsoft.com/office/infopath/2007/PartnerControls"/>
    </lcf76f155ced4ddcb4097134ff3c332f>
    <TaxCatchAll xmlns="e4207480-a1ae-4b95-8ade-9433d9ebc6b9" xsi:nil="true"/>
  </documentManagement>
</p:properties>
</file>

<file path=customXml/itemProps1.xml><?xml version="1.0" encoding="utf-8"?>
<ds:datastoreItem xmlns:ds="http://schemas.openxmlformats.org/officeDocument/2006/customXml" ds:itemID="{F7D9C1F3-56B9-462F-8F9A-AF64A6E69A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004E4E-6435-4B3A-8C59-AD25E61E24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5ff2ef-9bed-4752-80b3-3555e1d9f06c"/>
    <ds:schemaRef ds:uri="e4207480-a1ae-4b95-8ade-9433d9ebc6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E865224-C5E2-4A44-B737-FEE1DBB1D007}">
  <ds:schemaRefs>
    <ds:schemaRef ds:uri="http://schemas.microsoft.com/office/2006/metadata/properties"/>
    <ds:schemaRef ds:uri="http://schemas.microsoft.com/office/infopath/2007/PartnerControls"/>
    <ds:schemaRef ds:uri="095ff2ef-9bed-4752-80b3-3555e1d9f06c"/>
    <ds:schemaRef ds:uri="e4207480-a1ae-4b95-8ade-9433d9ebc6b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Trio_Office/6.2.8.2$Windows_x86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2016-06-18T21:51:36Z</dcterms:created>
  <dc:creator>Alexandra Ragazhinskaya</dc:creator>
  <dc:description/>
  <dc:language>en-GB</dc:language>
  <cp:lastModifiedBy/>
  <dcterms:modified xsi:type="dcterms:W3CDTF">2025-09-05T14:43:18Z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0x01010048845BFA421C6746AE492C336B3A185E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MediaServiceImageTags">
    <vt:lpwstr/>
  </property>
  <property fmtid="{D5CDD505-2E9C-101B-9397-08002B2CF9AE}" pid="8" name="ScaleCrop">
    <vt:bool>0</vt:bool>
  </property>
  <property fmtid="{D5CDD505-2E9C-101B-9397-08002B2CF9AE}" pid="9" name="ShareDoc">
    <vt:bool>0</vt:bool>
  </property>
</Properties>
</file>