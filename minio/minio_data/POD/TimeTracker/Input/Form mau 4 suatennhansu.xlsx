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media/image2.jpeg" ContentType="image/jpeg"/>
  <Override PartName="/xl/sharedStrings.xml" ContentType="application/vnd.openxmlformats-officedocument.spreadsheetml.sharedString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_rels/externalLink4.xml.rels" ContentType="application/vnd.openxmlformats-package.relationships+xml"/>
  <Override PartName="/xl/externalLinks/_rels/externalLink5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LNL" sheetId="1" state="visible" r:id="rId2"/>
  </sheets>
  <externalReferences>
    <externalReference r:id="rId3"/>
    <externalReference r:id="rId4"/>
  </externalReferences>
  <definedNames>
    <definedName function="false" hidden="false" localSheetId="0" name="_xlnm.Print_Area" vbProcedure="false">QLNL!$A$1:$O$33</definedName>
    <definedName function="false" hidden="false" localSheetId="0" name="_xlnm.Print_Titles" vbProcedure="false">QLNL!$7:$8</definedName>
    <definedName function="false" hidden="false" name="a" vbProcedure="false">'[1]thang 05-1'!#ref!</definedName>
    <definedName function="false" hidden="false" name="aa" vbProcedure="false">#REF!</definedName>
    <definedName function="false" hidden="false" name="aaa" vbProcedure="false">'[2]quo-detail'!#ref!</definedName>
    <definedName function="false" hidden="false" name="aaaaaaaaaaa" vbProcedure="false">'[3]bao-gia'!#ref!</definedName>
    <definedName function="false" hidden="false" name="abc" vbProcedure="false">#REF!</definedName>
    <definedName function="false" hidden="false" name="abcd" vbProcedure="false">#REF!</definedName>
    <definedName function="false" hidden="false" name="adad" vbProcedure="false">'[1]thang 05-1'!#ref!</definedName>
    <definedName function="false" hidden="false" name="asadsf" vbProcedure="false">#REF!</definedName>
    <definedName function="false" hidden="false" name="asd" vbProcedure="false">#REF!</definedName>
    <definedName function="false" hidden="false" name="assd" vbProcedure="false">'[2]quo-detail'!#ref!</definedName>
    <definedName function="false" hidden="false" name="B" vbProcedure="false">#N/A</definedName>
    <definedName function="false" hidden="false" name="d" vbProcedure="false">'[2]quo-detail'!#ref!</definedName>
    <definedName function="false" hidden="false" name="Diary" vbProcedure="false">'[3]bao-gia'!#ref!</definedName>
    <definedName function="false" hidden="false" name="Excel_BuiltIn_Print_Area" vbProcedure="false">NA()</definedName>
    <definedName function="false" hidden="false" name="ff" vbProcedure="false">'[3]bao-gia'!#ref!</definedName>
    <definedName function="false" hidden="false" name="g" vbProcedure="false">'[1]thang 05-1'!#ref!</definedName>
    <definedName function="false" hidden="false" name="h" vbProcedure="false">'[3]bao-gia'!#ref!</definedName>
    <definedName function="false" hidden="false" name="HEÄSOÅ" vbProcedure="false">'[3]bao-gia'!#ref!</definedName>
    <definedName function="false" hidden="false" name="HEÄSOÅ3" vbProcedure="false">'[3]bao-gia'!#ref!</definedName>
    <definedName function="false" hidden="false" name="hhhhhh" vbProcedure="false">'[2]quo-detail'!#ref!</definedName>
    <definedName function="false" hidden="false" name="hy" vbProcedure="false">'[3]bao-gia'!#ref!</definedName>
    <definedName function="false" hidden="false" name="imp" vbProcedure="false">'[2]quo-detail'!#ref!</definedName>
    <definedName function="false" hidden="false" name="Interval" vbProcedure="false">'[4]12-month sales forecast'!#ref!</definedName>
    <definedName function="false" hidden="false" name="j" vbProcedure="false">'[4]12-month sales forecast'!#ref!</definedName>
    <definedName function="false" hidden="false" name="k" vbProcedure="false">'[5]maintenance work order'!#ref!</definedName>
    <definedName function="false" hidden="false" name="l" vbProcedure="false">'[2]quo-detail'!#ref!</definedName>
    <definedName function="false" hidden="false" name="ll" vbProcedure="false">'[1]thang 05-1'!#ref!</definedName>
    <definedName function="false" hidden="false" name="pp" vbProcedure="false">'[3]bao-gia'!#ref!</definedName>
    <definedName function="false" hidden="false" name="qqqqqqqqqqqqqqq" vbProcedure="false">'[2]quo-detail'!#ref!</definedName>
    <definedName function="false" hidden="false" name="README" vbProcedure="false">[4]BILAL2!$A$1</definedName>
    <definedName function="false" hidden="false" name="SAO" vbProcedure="false">'[3]bao-gia'!#ref!</definedName>
    <definedName function="false" hidden="false" name="ScheduleStart" vbProcedure="false">'[4]12-month sales forecast'!#ref!</definedName>
    <definedName function="false" hidden="false" name="sdd" vbProcedure="false">'[1]thang 05-1'!#ref!</definedName>
    <definedName function="false" hidden="false" name="Status" vbProcedure="false">'[5]Document list'!$AL$3:$AL$5</definedName>
    <definedName function="false" hidden="false" name="Type" vbProcedure="false">'[5]maintenance work order'!#ref!</definedName>
    <definedName function="false" hidden="false" name="uy_h" vbProcedure="false">'[1]thang 05-1'!#ref!</definedName>
    <definedName function="false" hidden="false" name="_Fill" vbProcedure="false">#REF!</definedName>
    <definedName function="false" hidden="false" name="_WC2003" vbProcedure="false">#REF!</definedName>
    <definedName function="false" hidden="false" name="_WC2007" vbProcedure="false">#REF!</definedName>
    <definedName function="false" hidden="false" name="__WC2003" vbProcedure="false">#REF!</definedName>
    <definedName function="false" hidden="false" name="__WC2007" vbProcedure="false">#REF!</definedName>
    <definedName function="false" hidden="false" name="ư" vbProcedure="false">'[2]quo-detail'!#ref!</definedName>
    <definedName function="false" hidden="false" localSheetId="0" name="a" vbProcedure="false">QLNL!$A:$A</definedName>
    <definedName function="false" hidden="false" localSheetId="0" name="aa" vbProcedure="false">#REF!</definedName>
    <definedName function="false" hidden="false" localSheetId="0" name="aaa" vbProcedure="false">'[2]quo-detail'!#ref!</definedName>
    <definedName function="false" hidden="false" localSheetId="0" name="aaaaaaaaaaa" vbProcedure="false">'[3]bao-gia'!#ref!</definedName>
    <definedName function="false" hidden="false" localSheetId="0" name="abc" vbProcedure="false">#REF!</definedName>
    <definedName function="false" hidden="false" localSheetId="0" name="abcd" vbProcedure="false">#REF!</definedName>
    <definedName function="false" hidden="false" localSheetId="0" name="adad" vbProcedure="false">'[1]thang 05-1'!#ref!</definedName>
    <definedName function="false" hidden="false" localSheetId="0" name="asadsf" vbProcedure="false">#REF!</definedName>
    <definedName function="false" hidden="false" localSheetId="0" name="asd" vbProcedure="false">#REF!</definedName>
    <definedName function="false" hidden="false" localSheetId="0" name="assd" vbProcedure="false">'[2]quo-detail'!#ref!</definedName>
    <definedName function="false" hidden="false" localSheetId="0" name="d" vbProcedure="false">'[2]quo-detail'!#ref!</definedName>
    <definedName function="false" hidden="false" localSheetId="0" name="Diary" vbProcedure="false">'[3]bao-gia'!#ref!</definedName>
    <definedName function="false" hidden="false" localSheetId="0" name="ff" vbProcedure="false">'[3]bao-gia'!#ref!</definedName>
    <definedName function="false" hidden="false" localSheetId="0" name="g" vbProcedure="false">'[1]thang 05-1'!#ref!</definedName>
    <definedName function="false" hidden="false" localSheetId="0" name="h" vbProcedure="false">'[3]bao-gia'!#ref!</definedName>
    <definedName function="false" hidden="false" localSheetId="0" name="HEÄSOÅ" vbProcedure="false">'[3]bao-gia'!#ref!</definedName>
    <definedName function="false" hidden="false" localSheetId="0" name="HEÄSOÅ3" vbProcedure="false">'[3]bao-gia'!#ref!</definedName>
    <definedName function="false" hidden="false" localSheetId="0" name="hhhhhh" vbProcedure="false">'[2]quo-detail'!#ref!</definedName>
    <definedName function="false" hidden="false" localSheetId="0" name="hy" vbProcedure="false">'[3]bao-gia'!#ref!</definedName>
    <definedName function="false" hidden="false" localSheetId="0" name="imp" vbProcedure="false">'[2]quo-detail'!#ref!</definedName>
    <definedName function="false" hidden="false" localSheetId="0" name="Interval" vbProcedure="false">'[4]12-month sales forecast'!#ref!</definedName>
    <definedName function="false" hidden="false" localSheetId="0" name="j" vbProcedure="false">'[4]12-month sales forecast'!#ref!</definedName>
    <definedName function="false" hidden="false" localSheetId="0" name="k" vbProcedure="false">'[5]maintenance work order'!#ref!</definedName>
    <definedName function="false" hidden="false" localSheetId="0" name="l" vbProcedure="false">'[2]quo-detail'!#ref!</definedName>
    <definedName function="false" hidden="false" localSheetId="0" name="ll" vbProcedure="false">'[1]thang 05-1'!#ref!</definedName>
    <definedName function="false" hidden="false" localSheetId="0" name="pp" vbProcedure="false">'[3]bao-gia'!#ref!</definedName>
    <definedName function="false" hidden="false" localSheetId="0" name="qqqqqqqqqqqqqqq" vbProcedure="false">'[2]quo-detail'!#ref!</definedName>
    <definedName function="false" hidden="false" localSheetId="0" name="SAO" vbProcedure="false">'[3]bao-gia'!#ref!</definedName>
    <definedName function="false" hidden="false" localSheetId="0" name="ScheduleStart" vbProcedure="false">'[4]12-month sales forecast'!#ref!</definedName>
    <definedName function="false" hidden="false" localSheetId="0" name="sdd" vbProcedure="false">'[1]thang 05-1'!#ref!</definedName>
    <definedName function="false" hidden="false" localSheetId="0" name="Type" vbProcedure="false">'[5]maintenance work order'!#ref!</definedName>
    <definedName function="false" hidden="false" localSheetId="0" name="uy_h" vbProcedure="false">'[1]thang 05-1'!#ref!</definedName>
    <definedName function="false" hidden="false" localSheetId="0" name="_Fill" vbProcedure="false">#REF!</definedName>
    <definedName function="false" hidden="false" localSheetId="0" name="_WC2003" vbProcedure="false">#REF!</definedName>
    <definedName function="false" hidden="false" localSheetId="0" name="_WC2007" vbProcedure="false">#REF!</definedName>
    <definedName function="false" hidden="false" localSheetId="0" name="_xlnm.Print_Titles" vbProcedure="false">QLNL!$7:$8</definedName>
    <definedName function="false" hidden="false" localSheetId="0" name="_xlnm._FilterDatabase" vbProcedure="false">QLNL!$A$8:$W$33</definedName>
    <definedName function="false" hidden="false" localSheetId="0" name="__WC2003" vbProcedure="false">#REF!</definedName>
    <definedName function="false" hidden="false" localSheetId="0" name="__WC2007" vbProcedure="false">#REF!</definedName>
    <definedName function="false" hidden="false" localSheetId="0" name="ư" vbProcedure="false">'[2]quo-detail'!#ref!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<sst xmlns="http://schemas.openxmlformats.org/spreadsheetml/2006/main" count="142" uniqueCount="93">
  <si>
    <t xml:space="preserve">    CONSTRUCTION PLANNING
          KẾ HOẠCH THI CÔNG</t>
  </si>
  <si>
    <t xml:space="preserve">Mã dự án:</t>
  </si>
  <si>
    <t xml:space="preserve">ES192-5-A2302</t>
  </si>
  <si>
    <t xml:space="preserve">Mã hợp đồng:</t>
  </si>
  <si>
    <t xml:space="preserve">HD01</t>
  </si>
  <si>
    <t xml:space="preserve">Ngày:</t>
  </si>
  <si>
    <t xml:space="preserve">22/02/2025</t>
  </si>
  <si>
    <t xml:space="preserve">PROJECT NAME/ TÊN DỰ ÁN: </t>
  </si>
  <si>
    <t xml:space="preserve">CUNG CẤP VÀ THI CÔNG LẮP ĐẶT HỆ THỐNG ĐO ĐẾM ĐIỆN NĂNG</t>
  </si>
  <si>
    <t xml:space="preserve">Tên tài liệu:</t>
  </si>
  <si>
    <t xml:space="preserve">Construction Planning</t>
  </si>
  <si>
    <t xml:space="preserve">PROJECT CODE/ MÃ DỰ ÁN: </t>
  </si>
  <si>
    <t xml:space="preserve">NO./ STT</t>
  </si>
  <si>
    <t xml:space="preserve">DESCRIPTION/ MÔ TẢ CÔNG VIỆC</t>
  </si>
  <si>
    <t xml:space="preserve">PRIORITY/ 
MỨC ĐỘ ƯU TIÊN</t>
  </si>
  <si>
    <t xml:space="preserve">ASSIGNEE/ 
NHÂN SỰ THỰC HIỆN</t>
  </si>
  <si>
    <t xml:space="preserve">
SHIFT/ 
CA
</t>
  </si>
  <si>
    <t xml:space="preserve">PLAN/ KẾ HOẠCH</t>
  </si>
  <si>
    <t xml:space="preserve">Nơi làm việc</t>
  </si>
  <si>
    <t xml:space="preserve">QTY/ SL</t>
  </si>
  <si>
    <t xml:space="preserve">UNIT/ 
ĐƠN VỊ</t>
  </si>
  <si>
    <t xml:space="preserve">
ACTUAL (%)/
% CÔNG VIỆC ĐÃ HOÀN THÀNH
</t>
  </si>
  <si>
    <t xml:space="preserve">NEXT WEEK
W50</t>
  </si>
  <si>
    <t xml:space="preserve">PICTURES/ HÌNH ẢNH</t>
  </si>
  <si>
    <t xml:space="preserve">REMARK/ GHI CHÚ</t>
  </si>
  <si>
    <t xml:space="preserve">STATUS/ 
TÌNH TRẠNG</t>
  </si>
  <si>
    <t xml:space="preserve">General/ Kế hoạch chung</t>
  </si>
  <si>
    <t xml:space="preserve">Từ</t>
  </si>
  <si>
    <t xml:space="preserve">Đến</t>
  </si>
  <si>
    <t xml:space="preserve">giờ</t>
  </si>
  <si>
    <t xml:space="preserve">A</t>
  </si>
  <si>
    <t xml:space="preserve">Thiết kế phần cứng</t>
  </si>
  <si>
    <t xml:space="preserve">A1</t>
  </si>
  <si>
    <t xml:space="preserve">Thiết kế cấu hình hệ thống</t>
  </si>
  <si>
    <t xml:space="preserve">Trung Bình</t>
  </si>
  <si>
    <t xml:space="preserve">A2</t>
  </si>
  <si>
    <t xml:space="preserve">Thiết kế tuyến cáp quang</t>
  </si>
  <si>
    <t xml:space="preserve">A2.1</t>
  </si>
  <si>
    <t xml:space="preserve">Làm việc với anh Tây để xác định lại tuyến cáp quang</t>
  </si>
  <si>
    <t xml:space="preserve">Nguyễn Song Hào,Lê Hoàng Phúc</t>
  </si>
  <si>
    <t xml:space="preserve">V</t>
  </si>
  <si>
    <t xml:space="preserve">Time tinh SL cho 1 nguoi</t>
  </si>
  <si>
    <t xml:space="preserve">A2.2</t>
  </si>
  <si>
    <t xml:space="preserve">Làm việc với anh Tây, Thầu phụ để xác định chiều dài cáp quang</t>
  </si>
  <si>
    <t xml:space="preserve">S</t>
  </si>
  <si>
    <t xml:space="preserve">A3</t>
  </si>
  <si>
    <t xml:space="preserve">Thiết kế wiring cáp tín hiệu</t>
  </si>
  <si>
    <t xml:space="preserve">A3.1</t>
  </si>
  <si>
    <t xml:space="preserve">Khảo sát xác định phương án lắp đặt CT</t>
  </si>
  <si>
    <t xml:space="preserve">Lê Vĩnh Hà,Lê Hoàng,Nguyễn Văn Hoàng Đông</t>
  </si>
  <si>
    <t xml:space="preserve">A3.2</t>
  </si>
  <si>
    <t xml:space="preserve">Khảo sát xác định phương án đi dây tín hiệu dòng điện, điện áp</t>
  </si>
  <si>
    <t xml:space="preserve">A3.3</t>
  </si>
  <si>
    <t xml:space="preserve">Khảo sát xác định phương án đi dây RS485</t>
  </si>
  <si>
    <t xml:space="preserve">Cao</t>
  </si>
  <si>
    <t xml:space="preserve">B</t>
  </si>
  <si>
    <t xml:space="preserve">Mua hàng</t>
  </si>
  <si>
    <t xml:space="preserve">B1</t>
  </si>
  <si>
    <t xml:space="preserve">Lên BOQ 1 - thiết bị Moxa để đáp ứng tiến độ</t>
  </si>
  <si>
    <t xml:space="preserve">Lê Vĩnh Hà</t>
  </si>
  <si>
    <t xml:space="preserve">B2</t>
  </si>
  <si>
    <t xml:space="preserve">Lên BOQ 2 - thiết bị phần cứng, phần mềm đã có mã sales bóc sẵn</t>
  </si>
  <si>
    <t xml:space="preserve">Nguyễn Văn Hoàng Đông</t>
  </si>
  <si>
    <t xml:space="preserve">B3</t>
  </si>
  <si>
    <t xml:space="preserve">Lên BOQ tủ rack, tủ trung gian, CT</t>
  </si>
  <si>
    <t xml:space="preserve">C</t>
  </si>
  <si>
    <t xml:space="preserve">Tích hợp hệ thống tại xưởng</t>
  </si>
  <si>
    <t xml:space="preserve">C1</t>
  </si>
  <si>
    <t xml:space="preserve">Tích hợp tủ trung gian</t>
  </si>
  <si>
    <t xml:space="preserve">Lê Vĩnh Hà,Lê Hoàng</t>
  </si>
  <si>
    <t xml:space="preserve">C2</t>
  </si>
  <si>
    <t xml:space="preserve">Tích hợp tủ rack</t>
  </si>
  <si>
    <t xml:space="preserve">C3</t>
  </si>
  <si>
    <t xml:space="preserve">FAT</t>
  </si>
  <si>
    <t xml:space="preserve">Hoan</t>
  </si>
  <si>
    <t xml:space="preserve">D</t>
  </si>
  <si>
    <t xml:space="preserve">Lắp đặt tại công trường</t>
  </si>
  <si>
    <t xml:space="preserve">D1</t>
  </si>
  <si>
    <t xml:space="preserve">Thi công kéo cáp quang từ các trạm về phòng trung tâm</t>
  </si>
  <si>
    <t xml:space="preserve">D2</t>
  </si>
  <si>
    <t xml:space="preserve">Lắp đặt CT, đồng hồ, đấu nối dây tín hiệu điện áp, dòng vào đồng hồ</t>
  </si>
  <si>
    <t xml:space="preserve">D3</t>
  </si>
  <si>
    <t xml:space="preserve">Kéo dây cáp Ethernet từ tủ trung gian SignatureShow về phòng trung tâm</t>
  </si>
  <si>
    <t xml:space="preserve">D4</t>
  </si>
  <si>
    <t xml:space="preserve">Lắp đặt ODF, tủ trung gian tại các trạm</t>
  </si>
  <si>
    <t xml:space="preserve">D5</t>
  </si>
  <si>
    <t xml:space="preserve">Lắp đặt tủ rack, máy tính</t>
  </si>
  <si>
    <t xml:space="preserve">D6</t>
  </si>
  <si>
    <t xml:space="preserve">Hàn cáp quang</t>
  </si>
  <si>
    <t xml:space="preserve">D7</t>
  </si>
  <si>
    <t xml:space="preserve">Đấu nối hoàn chỉnh hệ thống</t>
  </si>
  <si>
    <t xml:space="preserve">Tổng</t>
  </si>
  <si>
    <t xml:space="preserve">Giờ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</si>
</sst>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[$-809]DD/MM/YYYY"/>
    <numFmt numFmtId="167" formatCode="0"/>
    <numFmt numFmtId="168" formatCode="0%"/>
    <numFmt numFmtId="169" formatCode="General"/>
    <numFmt numFmtId="170" formatCode="D/M/YYYY"/>
  </numFmts>
  <fonts count="2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Arial"/>
      <family val="2"/>
      <charset val="1"/>
    </font>
    <font>
      <b val="true"/>
      <sz val="26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80808"/>
      <name val="Arial"/>
      <family val="2"/>
      <charset val="1"/>
    </font>
    <font>
      <b val="true"/>
      <sz val="10"/>
      <color rgb="FF000000"/>
      <name val="Century Gothic"/>
      <family val="2"/>
      <charset val="1"/>
    </font>
    <font>
      <sz val="10"/>
      <color rgb="FF000000"/>
      <name val="Century Gothic"/>
      <family val="2"/>
      <charset val="1"/>
    </font>
    <font>
      <sz val="11"/>
      <color rgb="FF000000"/>
      <name val="Arial"/>
      <family val="2"/>
      <charset val="1"/>
    </font>
    <font>
      <sz val="9"/>
      <color rgb="FFFFFFFF"/>
      <name val="Century Gothic"/>
      <family val="2"/>
      <charset val="1"/>
    </font>
    <font>
      <sz val="9"/>
      <color rgb="FF000000"/>
      <name val="Century Gothic"/>
      <family val="2"/>
      <charset val="1"/>
    </font>
    <font>
      <b val="true"/>
      <sz val="14"/>
      <name val="Arial"/>
      <family val="2"/>
      <charset val="1"/>
    </font>
    <font>
      <sz val="14"/>
      <color rgb="FFFFFFFF"/>
      <name val="Century Gothic"/>
      <family val="2"/>
      <charset val="1"/>
    </font>
    <font>
      <sz val="14"/>
      <color rgb="FF000000"/>
      <name val="Century Gothic"/>
      <family val="2"/>
      <charset val="1"/>
    </font>
    <font>
      <sz val="14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D9D9D9"/>
        <bgColor rgb="FFBFBFBF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7F7F7F"/>
        <bgColor rgb="FF96969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2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7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2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5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4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6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2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4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3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6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4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6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0" xfId="2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2" fillId="0" borderId="4" xfId="28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2" fillId="0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6" fillId="0" borderId="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6" fillId="0" borderId="4" xfId="28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6" fillId="0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9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4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6" fillId="0" borderId="5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8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4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4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3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4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5" borderId="6" xfId="27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4_" xfId="20"/>
    <cellStyle name="Comma 3" xfId="21"/>
    <cellStyle name="Normal 2" xfId="22"/>
    <cellStyle name="Normal 2 4" xfId="23"/>
    <cellStyle name="Normal 2 4 2" xfId="24"/>
    <cellStyle name="Normal 2 4 3" xfId="25"/>
    <cellStyle name="Normal 24 2" xfId="26"/>
    <cellStyle name="Normal 3" xfId="27"/>
    <cellStyle name="Normal 4" xfId="28"/>
    <cellStyle name="Normal 4 2" xfId="29"/>
    <cellStyle name="Normal 5" xfId="30"/>
    <cellStyle name="Normal 6" xfId="31"/>
    <cellStyle name="Normal 6 2" xfId="3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4.xml"/><Relationship Id="rId4" Type="http://schemas.openxmlformats.org/officeDocument/2006/relationships/externalLink" Target="externalLinks/externalLink5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75960</xdr:rowOff>
    </xdr:from>
    <xdr:to>
      <xdr:col>1</xdr:col>
      <xdr:colOff>1054440</xdr:colOff>
      <xdr:row>3</xdr:row>
      <xdr:rowOff>138240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256680"/>
          <a:ext cx="2302560" cy="7290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0</xdr:col>
      <xdr:colOff>118800</xdr:colOff>
      <xdr:row>0</xdr:row>
      <xdr:rowOff>114840</xdr:rowOff>
    </xdr:from>
    <xdr:to>
      <xdr:col>1</xdr:col>
      <xdr:colOff>1716480</xdr:colOff>
      <xdr:row>4</xdr:row>
      <xdr:rowOff>189720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18800" y="114840"/>
          <a:ext cx="2845800" cy="1198800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/C:/temp/Temporary%20Internet%20Files/Content.IE5/RZMWUA9X/PROJECTS/WINTEMP/WINDOWS/BILAL2.XLM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
</Relationships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I41"/>
  <sheetViews>
    <sheetView showFormulas="false" showGridLines="false" showRowColHeaders="true" showZeros="true" rightToLeft="false" tabSelected="true" showOutlineSymbols="true" defaultGridColor="true" view="normal" topLeftCell="B1" colorId="64" zoomScale="90" zoomScaleNormal="90" zoomScalePageLayoutView="85" workbookViewId="0">
      <pane xSplit="0" ySplit="8" topLeftCell="A19" activePane="bottomLeft" state="frozen"/>
      <selection pane="topLeft" activeCell="B1" activeCellId="0" sqref="B1"/>
      <selection pane="bottomLeft" activeCell="D38" activeCellId="0" sqref="D38"/>
    </sheetView>
  </sheetViews>
  <sheetFormatPr defaultRowHeight="14.25" zeroHeight="false" outlineLevelRow="2" outlineLevelCol="0"/>
  <cols>
    <col collapsed="false" customWidth="true" hidden="false" outlineLevel="0" max="1" min="1" style="1" width="16.13"/>
    <col collapsed="false" customWidth="true" hidden="false" outlineLevel="0" max="2" min="2" style="1" width="68.13"/>
    <col collapsed="false" customWidth="true" hidden="false" outlineLevel="0" max="3" min="3" style="1" width="17.38"/>
    <col collapsed="false" customWidth="true" hidden="false" outlineLevel="0" max="4" min="4" style="1" width="21.63"/>
    <col collapsed="false" customWidth="true" hidden="true" outlineLevel="0" max="5" min="5" style="2" width="6.87"/>
    <col collapsed="false" customWidth="true" hidden="false" outlineLevel="0" max="8" min="6" style="1" width="12"/>
    <col collapsed="false" customWidth="true" hidden="false" outlineLevel="0" max="9" min="9" style="1" width="11.13"/>
    <col collapsed="false" customWidth="true" hidden="false" outlineLevel="0" max="10" min="10" style="1" width="7.62"/>
    <col collapsed="false" customWidth="true" hidden="false" outlineLevel="0" max="11" min="11" style="1" width="15"/>
    <col collapsed="false" customWidth="true" hidden="false" outlineLevel="0" max="12" min="12" style="1" width="12.38"/>
    <col collapsed="false" customWidth="true" hidden="false" outlineLevel="0" max="13" min="13" style="1" width="19.38"/>
    <col collapsed="false" customWidth="true" hidden="false" outlineLevel="0" max="14" min="14" style="1" width="29.62"/>
    <col collapsed="false" customWidth="true" hidden="true" outlineLevel="0" max="15" min="15" style="1" width="21"/>
    <col collapsed="false" customWidth="true" hidden="true" outlineLevel="0" max="18" min="16" style="3" width="11.87"/>
    <col collapsed="false" customWidth="true" hidden="true" outlineLevel="0" max="19" min="19" style="3" width="11.13"/>
    <col collapsed="false" customWidth="true" hidden="true" outlineLevel="0" max="20" min="20" style="3" width="13.63"/>
    <col collapsed="false" customWidth="true" hidden="true" outlineLevel="0" max="21" min="21" style="3" width="9.88"/>
    <col collapsed="false" customWidth="true" hidden="true" outlineLevel="0" max="22" min="22" style="3" width="41.37"/>
    <col collapsed="false" customWidth="true" hidden="true" outlineLevel="0" max="23" min="23" style="3" width="14"/>
    <col collapsed="false" customWidth="true" hidden="true" outlineLevel="0" max="24" min="24" style="3" width="12.13"/>
    <col collapsed="false" customWidth="true" hidden="true" outlineLevel="0" max="25" min="25" style="3" width="14"/>
    <col collapsed="false" customWidth="true" hidden="true" outlineLevel="0" max="26" min="26" style="3" width="12.13"/>
    <col collapsed="false" customWidth="true" hidden="true" outlineLevel="0" max="27" min="27" style="3" width="14"/>
    <col collapsed="false" customWidth="true" hidden="true" outlineLevel="0" max="28" min="28" style="3" width="12.13"/>
    <col collapsed="false" customWidth="true" hidden="true" outlineLevel="0" max="29" min="29" style="4" width="14"/>
    <col collapsed="false" customWidth="true" hidden="true" outlineLevel="0" max="30" min="30" style="4" width="12.13"/>
    <col collapsed="false" customWidth="true" hidden="true" outlineLevel="0" max="31" min="31" style="3" width="14"/>
    <col collapsed="false" customWidth="true" hidden="true" outlineLevel="0" max="32" min="32" style="3" width="12.13"/>
    <col collapsed="false" customWidth="true" hidden="true" outlineLevel="0" max="33" min="33" style="3" width="14"/>
    <col collapsed="false" customWidth="true" hidden="true" outlineLevel="0" max="34" min="34" style="3" width="12.13"/>
    <col collapsed="false" customWidth="true" hidden="true" outlineLevel="0" max="35" min="35" style="3" width="5"/>
    <col collapsed="false" customWidth="true" hidden="false" outlineLevel="0" max="1025" min="36" style="3" width="5"/>
  </cols>
  <sheetData>
    <row r="1" customFormat="false" ht="14.25" hidden="false" customHeight="true" outlineLevel="0" collapsed="false">
      <c r="C1" s="5" t="s">
        <v>0</v>
      </c>
      <c r="D1" s="5"/>
      <c r="E1" s="5"/>
      <c r="F1" s="5"/>
      <c r="G1" s="5"/>
      <c r="H1" s="5"/>
      <c r="I1" s="5"/>
      <c r="J1" s="5"/>
      <c r="K1" s="5"/>
      <c r="L1" s="6"/>
      <c r="M1" s="3"/>
      <c r="N1" s="3"/>
      <c r="O1" s="3"/>
      <c r="P1" s="3" t="str">
        <f aca="true">CELL("filename")</f>
        <v>'file:///F:/E-Visor/EVisor---Backend---RnD/minio/minio_data/POD/TimeTracker/Input/Form mau 4 suatennhansu.xlsx'#$QLNL</v>
      </c>
    </row>
    <row r="2" customFormat="false" ht="26.25" hidden="false" customHeight="true" outlineLevel="0" collapsed="false">
      <c r="A2" s="7"/>
      <c r="B2" s="7"/>
      <c r="C2" s="5"/>
      <c r="D2" s="5"/>
      <c r="E2" s="5"/>
      <c r="F2" s="5"/>
      <c r="G2" s="5"/>
      <c r="H2" s="5"/>
      <c r="I2" s="5"/>
      <c r="J2" s="5"/>
      <c r="K2" s="5"/>
      <c r="L2" s="8" t="s">
        <v>1</v>
      </c>
      <c r="M2" s="8" t="s">
        <v>2</v>
      </c>
      <c r="N2" s="8"/>
      <c r="O2" s="3"/>
      <c r="P2" s="3" t="str">
        <f aca="false">MID(P1,92,11)</f>
        <v>4 suatennha</v>
      </c>
    </row>
    <row r="3" customFormat="false" ht="26.25" hidden="false" customHeight="true" outlineLevel="0" collapsed="false">
      <c r="A3" s="7"/>
      <c r="B3" s="7"/>
      <c r="C3" s="5"/>
      <c r="D3" s="5"/>
      <c r="E3" s="5"/>
      <c r="F3" s="5"/>
      <c r="G3" s="5"/>
      <c r="H3" s="5"/>
      <c r="I3" s="5"/>
      <c r="J3" s="5"/>
      <c r="K3" s="5"/>
      <c r="L3" s="8" t="s">
        <v>3</v>
      </c>
      <c r="M3" s="8" t="s">
        <v>4</v>
      </c>
      <c r="N3" s="8"/>
      <c r="O3" s="9"/>
      <c r="P3" s="3" t="str">
        <f aca="false">MID(P2,142,9)</f>
        <v/>
      </c>
    </row>
    <row r="4" customFormat="false" ht="21.75" hidden="false" customHeight="true" outlineLevel="0" collapsed="false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8" t="s">
        <v>5</v>
      </c>
      <c r="M4" s="12" t="s">
        <v>6</v>
      </c>
      <c r="N4" s="12"/>
      <c r="O4" s="13"/>
      <c r="P4" s="14"/>
      <c r="Q4" s="14"/>
      <c r="R4" s="14"/>
    </row>
    <row r="5" customFormat="false" ht="39.75" hidden="false" customHeight="true" outlineLevel="0" collapsed="false">
      <c r="A5" s="10"/>
      <c r="B5" s="10"/>
      <c r="C5" s="15" t="s">
        <v>7</v>
      </c>
      <c r="D5" s="15"/>
      <c r="E5" s="16" t="s">
        <v>8</v>
      </c>
      <c r="F5" s="16"/>
      <c r="G5" s="16"/>
      <c r="H5" s="16"/>
      <c r="I5" s="16"/>
      <c r="J5" s="16"/>
      <c r="K5" s="16"/>
      <c r="L5" s="8" t="s">
        <v>9</v>
      </c>
      <c r="M5" s="8" t="s">
        <v>10</v>
      </c>
      <c r="N5" s="8"/>
      <c r="O5" s="13"/>
    </row>
    <row r="6" s="3" customFormat="true" ht="20.25" hidden="false" customHeight="true" outlineLevel="0" collapsed="false">
      <c r="A6" s="17"/>
      <c r="B6" s="17"/>
      <c r="C6" s="18" t="s">
        <v>11</v>
      </c>
      <c r="D6" s="18"/>
      <c r="E6" s="18" t="s">
        <v>2</v>
      </c>
      <c r="F6" s="18"/>
      <c r="G6" s="18"/>
      <c r="H6" s="19"/>
      <c r="I6" s="6"/>
      <c r="J6" s="6"/>
      <c r="K6" s="11"/>
      <c r="L6" s="11"/>
      <c r="AC6" s="4"/>
      <c r="AD6" s="4"/>
    </row>
    <row r="7" customFormat="false" ht="56.25" hidden="false" customHeight="true" outlineLevel="0" collapsed="false">
      <c r="A7" s="20" t="s">
        <v>12</v>
      </c>
      <c r="B7" s="21" t="s">
        <v>13</v>
      </c>
      <c r="C7" s="22" t="s">
        <v>14</v>
      </c>
      <c r="D7" s="23" t="s">
        <v>15</v>
      </c>
      <c r="E7" s="24" t="s">
        <v>16</v>
      </c>
      <c r="F7" s="25" t="s">
        <v>17</v>
      </c>
      <c r="G7" s="25"/>
      <c r="H7" s="21" t="s">
        <v>18</v>
      </c>
      <c r="I7" s="26" t="s">
        <v>19</v>
      </c>
      <c r="J7" s="27" t="s">
        <v>20</v>
      </c>
      <c r="K7" s="27" t="s">
        <v>21</v>
      </c>
      <c r="L7" s="28" t="s">
        <v>22</v>
      </c>
      <c r="M7" s="28" t="s">
        <v>23</v>
      </c>
      <c r="N7" s="28" t="s">
        <v>24</v>
      </c>
      <c r="O7" s="29" t="s">
        <v>25</v>
      </c>
      <c r="P7" s="30"/>
      <c r="Q7" s="30"/>
      <c r="R7" s="30"/>
      <c r="S7" s="31"/>
      <c r="T7" s="32"/>
      <c r="U7" s="32"/>
      <c r="V7" s="32"/>
      <c r="W7" s="32"/>
      <c r="X7" s="32"/>
      <c r="Y7" s="32"/>
      <c r="Z7" s="32"/>
      <c r="AA7" s="32"/>
      <c r="AB7" s="32"/>
      <c r="AE7" s="32"/>
      <c r="AF7" s="32"/>
      <c r="AG7" s="32"/>
      <c r="AH7" s="32"/>
    </row>
    <row r="8" customFormat="false" ht="30" hidden="false" customHeight="false" outlineLevel="0" collapsed="false">
      <c r="A8" s="33" t="s">
        <v>26</v>
      </c>
      <c r="B8" s="34"/>
      <c r="C8" s="22"/>
      <c r="D8" s="23"/>
      <c r="E8" s="35"/>
      <c r="F8" s="36" t="s">
        <v>27</v>
      </c>
      <c r="G8" s="36" t="s">
        <v>28</v>
      </c>
      <c r="H8" s="21"/>
      <c r="I8" s="26"/>
      <c r="J8" s="37" t="s">
        <v>29</v>
      </c>
      <c r="K8" s="38"/>
      <c r="L8" s="38" t="e">
        <f aca="false">ROUNDUP((((L18*$P$18)+(L22*$P$22)+(#REF!*#REF!))/100),2)</f>
        <v>#REF!</v>
      </c>
      <c r="M8" s="28"/>
      <c r="N8" s="28"/>
      <c r="O8" s="29"/>
      <c r="P8" s="39" t="e">
        <f aca="false">"W"&amp;#REF!+1</f>
        <v>#REF!</v>
      </c>
      <c r="Q8" s="39"/>
      <c r="R8" s="39"/>
      <c r="S8" s="40"/>
      <c r="T8" s="41"/>
      <c r="U8" s="41"/>
      <c r="V8" s="41"/>
      <c r="W8" s="41"/>
      <c r="X8" s="41"/>
      <c r="Y8" s="41"/>
      <c r="Z8" s="41"/>
      <c r="AA8" s="41"/>
      <c r="AB8" s="41"/>
      <c r="AC8" s="42"/>
      <c r="AD8" s="42"/>
      <c r="AE8" s="41"/>
      <c r="AF8" s="41"/>
      <c r="AG8" s="41"/>
      <c r="AH8" s="41"/>
      <c r="AI8" s="43"/>
    </row>
    <row r="9" s="60" customFormat="true" ht="32.45" hidden="false" customHeight="true" outlineLevel="0" collapsed="false">
      <c r="A9" s="44" t="s">
        <v>30</v>
      </c>
      <c r="B9" s="45" t="s">
        <v>31</v>
      </c>
      <c r="C9" s="46"/>
      <c r="D9" s="47"/>
      <c r="E9" s="48"/>
      <c r="F9" s="49"/>
      <c r="G9" s="49"/>
      <c r="H9" s="50"/>
      <c r="I9" s="44"/>
      <c r="J9" s="51"/>
      <c r="K9" s="52"/>
      <c r="L9" s="52"/>
      <c r="M9" s="53"/>
      <c r="N9" s="54"/>
      <c r="O9" s="29"/>
      <c r="P9" s="55" t="n">
        <v>5</v>
      </c>
      <c r="Q9" s="55"/>
      <c r="R9" s="55"/>
      <c r="S9" s="56"/>
      <c r="T9" s="57"/>
      <c r="U9" s="57"/>
      <c r="V9" s="57"/>
      <c r="W9" s="57"/>
      <c r="X9" s="57"/>
      <c r="Y9" s="57"/>
      <c r="Z9" s="57"/>
      <c r="AA9" s="57"/>
      <c r="AB9" s="57"/>
      <c r="AC9" s="58"/>
      <c r="AD9" s="58"/>
      <c r="AE9" s="57"/>
      <c r="AF9" s="57"/>
      <c r="AG9" s="57"/>
      <c r="AH9" s="57"/>
      <c r="AI9" s="59"/>
    </row>
    <row r="10" customFormat="false" ht="21" hidden="false" customHeight="true" outlineLevel="1" collapsed="false">
      <c r="A10" s="61" t="s">
        <v>32</v>
      </c>
      <c r="B10" s="62" t="s">
        <v>33</v>
      </c>
      <c r="C10" s="63"/>
      <c r="D10" s="63"/>
      <c r="E10" s="64"/>
      <c r="F10" s="65"/>
      <c r="G10" s="65"/>
      <c r="H10" s="66"/>
      <c r="I10" s="67"/>
      <c r="J10" s="68"/>
      <c r="K10" s="69"/>
      <c r="L10" s="69"/>
      <c r="M10" s="70"/>
      <c r="N10" s="70"/>
      <c r="O10" s="29"/>
      <c r="P10" s="69"/>
      <c r="Q10" s="71"/>
      <c r="R10" s="71"/>
      <c r="S10" s="71"/>
      <c r="T10" s="72" t="s">
        <v>34</v>
      </c>
      <c r="U10" s="72"/>
      <c r="V10" s="72"/>
      <c r="W10" s="72"/>
      <c r="X10" s="72"/>
      <c r="Y10" s="72"/>
      <c r="Z10" s="72"/>
      <c r="AA10" s="72"/>
      <c r="AB10" s="72"/>
      <c r="AC10" s="73"/>
      <c r="AD10" s="73"/>
      <c r="AE10" s="72"/>
      <c r="AF10" s="72"/>
      <c r="AG10" s="72"/>
      <c r="AH10" s="72"/>
    </row>
    <row r="11" customFormat="false" ht="18.75" hidden="false" customHeight="true" outlineLevel="1" collapsed="false">
      <c r="A11" s="61" t="s">
        <v>35</v>
      </c>
      <c r="B11" s="62" t="s">
        <v>36</v>
      </c>
      <c r="C11" s="63"/>
      <c r="D11" s="63"/>
      <c r="E11" s="74"/>
      <c r="F11" s="65"/>
      <c r="G11" s="65"/>
      <c r="H11" s="66"/>
      <c r="I11" s="75"/>
      <c r="J11" s="68"/>
      <c r="K11" s="69"/>
      <c r="L11" s="69"/>
      <c r="M11" s="70"/>
      <c r="N11" s="70"/>
      <c r="O11" s="29"/>
      <c r="P11" s="69"/>
      <c r="Q11" s="71"/>
      <c r="R11" s="71"/>
      <c r="S11" s="71"/>
      <c r="T11" s="72"/>
      <c r="U11" s="72"/>
      <c r="V11" s="72"/>
      <c r="W11" s="72"/>
      <c r="X11" s="72"/>
      <c r="Y11" s="72"/>
      <c r="Z11" s="72"/>
      <c r="AA11" s="72"/>
      <c r="AB11" s="72"/>
      <c r="AC11" s="76"/>
      <c r="AD11" s="76"/>
      <c r="AE11" s="72"/>
      <c r="AF11" s="72"/>
      <c r="AG11" s="72"/>
      <c r="AH11" s="72"/>
    </row>
    <row r="12" customFormat="false" ht="24" hidden="false" customHeight="true" outlineLevel="2" collapsed="false">
      <c r="A12" s="61" t="s">
        <v>37</v>
      </c>
      <c r="B12" s="77" t="s">
        <v>38</v>
      </c>
      <c r="C12" s="63"/>
      <c r="D12" s="63" t="s">
        <v>39</v>
      </c>
      <c r="E12" s="74"/>
      <c r="F12" s="78" t="n">
        <v>45722</v>
      </c>
      <c r="G12" s="78" t="n">
        <v>45723</v>
      </c>
      <c r="H12" s="79" t="s">
        <v>40</v>
      </c>
      <c r="I12" s="61" t="n">
        <v>7</v>
      </c>
      <c r="J12" s="68" t="s">
        <v>29</v>
      </c>
      <c r="K12" s="69"/>
      <c r="L12" s="69"/>
      <c r="M12" s="70"/>
      <c r="N12" s="70" t="s">
        <v>41</v>
      </c>
      <c r="O12" s="29"/>
      <c r="P12" s="69"/>
      <c r="Q12" s="71"/>
      <c r="R12" s="71"/>
      <c r="S12" s="71"/>
      <c r="T12" s="72"/>
      <c r="U12" s="72"/>
      <c r="V12" s="72"/>
      <c r="W12" s="72"/>
      <c r="X12" s="72"/>
      <c r="Y12" s="72"/>
      <c r="Z12" s="72"/>
      <c r="AA12" s="72"/>
      <c r="AB12" s="72"/>
      <c r="AC12" s="76"/>
      <c r="AD12" s="76"/>
      <c r="AE12" s="72"/>
      <c r="AF12" s="72"/>
      <c r="AG12" s="72"/>
      <c r="AH12" s="72"/>
    </row>
    <row r="13" customFormat="false" ht="18.75" hidden="false" customHeight="true" outlineLevel="2" collapsed="false">
      <c r="A13" s="61" t="s">
        <v>42</v>
      </c>
      <c r="B13" s="77" t="s">
        <v>43</v>
      </c>
      <c r="C13" s="63"/>
      <c r="D13" s="63" t="s">
        <v>39</v>
      </c>
      <c r="E13" s="74"/>
      <c r="F13" s="78" t="n">
        <v>45726</v>
      </c>
      <c r="G13" s="78" t="n">
        <v>45726</v>
      </c>
      <c r="H13" s="79" t="s">
        <v>44</v>
      </c>
      <c r="I13" s="61" t="n">
        <v>6</v>
      </c>
      <c r="J13" s="68" t="s">
        <v>29</v>
      </c>
      <c r="K13" s="69"/>
      <c r="L13" s="69"/>
      <c r="M13" s="70"/>
      <c r="N13" s="70"/>
      <c r="O13" s="29"/>
      <c r="P13" s="69"/>
      <c r="Q13" s="71"/>
      <c r="R13" s="71"/>
      <c r="S13" s="71"/>
      <c r="T13" s="72"/>
      <c r="U13" s="72"/>
      <c r="V13" s="72"/>
      <c r="W13" s="72"/>
      <c r="X13" s="72"/>
      <c r="Y13" s="72"/>
      <c r="Z13" s="72"/>
      <c r="AA13" s="72"/>
      <c r="AB13" s="72"/>
      <c r="AC13" s="76"/>
      <c r="AD13" s="76"/>
      <c r="AE13" s="72"/>
      <c r="AF13" s="72"/>
      <c r="AG13" s="72"/>
      <c r="AH13" s="72"/>
    </row>
    <row r="14" customFormat="false" ht="18.75" hidden="false" customHeight="true" outlineLevel="1" collapsed="false">
      <c r="A14" s="61" t="s">
        <v>45</v>
      </c>
      <c r="B14" s="62" t="s">
        <v>46</v>
      </c>
      <c r="C14" s="63"/>
      <c r="D14" s="63"/>
      <c r="E14" s="74"/>
      <c r="F14" s="65"/>
      <c r="G14" s="65"/>
      <c r="H14" s="66"/>
      <c r="I14" s="75"/>
      <c r="J14" s="68"/>
      <c r="K14" s="69"/>
      <c r="L14" s="69"/>
      <c r="M14" s="70"/>
      <c r="N14" s="70"/>
      <c r="O14" s="29"/>
      <c r="P14" s="69"/>
      <c r="Q14" s="71"/>
      <c r="R14" s="71"/>
      <c r="S14" s="71"/>
      <c r="T14" s="72"/>
      <c r="U14" s="72"/>
      <c r="V14" s="72"/>
      <c r="W14" s="72"/>
      <c r="X14" s="72"/>
      <c r="Y14" s="72"/>
      <c r="Z14" s="72"/>
      <c r="AA14" s="72"/>
      <c r="AB14" s="72"/>
      <c r="AC14" s="76"/>
      <c r="AD14" s="76"/>
      <c r="AE14" s="72"/>
      <c r="AF14" s="72"/>
      <c r="AG14" s="72"/>
      <c r="AH14" s="72"/>
    </row>
    <row r="15" customFormat="false" ht="18.75" hidden="false" customHeight="true" outlineLevel="2" collapsed="false">
      <c r="A15" s="61" t="s">
        <v>47</v>
      </c>
      <c r="B15" s="77" t="s">
        <v>48</v>
      </c>
      <c r="C15" s="63"/>
      <c r="D15" s="63" t="s">
        <v>49</v>
      </c>
      <c r="E15" s="74"/>
      <c r="F15" s="78" t="n">
        <f aca="false">G13+1</f>
        <v>45727</v>
      </c>
      <c r="G15" s="78" t="n">
        <v>45728</v>
      </c>
      <c r="H15" s="79" t="s">
        <v>40</v>
      </c>
      <c r="I15" s="61" t="n">
        <v>24</v>
      </c>
      <c r="J15" s="68" t="s">
        <v>29</v>
      </c>
      <c r="K15" s="69"/>
      <c r="L15" s="69"/>
      <c r="M15" s="70"/>
      <c r="N15" s="70"/>
      <c r="O15" s="29"/>
      <c r="P15" s="69"/>
      <c r="Q15" s="71"/>
      <c r="R15" s="71"/>
      <c r="S15" s="71"/>
      <c r="T15" s="72"/>
      <c r="U15" s="72"/>
      <c r="V15" s="72"/>
      <c r="W15" s="72"/>
      <c r="X15" s="72"/>
      <c r="Y15" s="72"/>
      <c r="Z15" s="72"/>
      <c r="AA15" s="72"/>
      <c r="AB15" s="72"/>
      <c r="AC15" s="76"/>
      <c r="AD15" s="76"/>
      <c r="AE15" s="72"/>
      <c r="AF15" s="72"/>
      <c r="AG15" s="72"/>
      <c r="AH15" s="72"/>
    </row>
    <row r="16" customFormat="false" ht="21" hidden="false" customHeight="true" outlineLevel="2" collapsed="false">
      <c r="A16" s="61" t="s">
        <v>50</v>
      </c>
      <c r="B16" s="77" t="s">
        <v>51</v>
      </c>
      <c r="C16" s="63"/>
      <c r="D16" s="63" t="s">
        <v>49</v>
      </c>
      <c r="E16" s="80"/>
      <c r="F16" s="78" t="n">
        <v>45729</v>
      </c>
      <c r="G16" s="78" t="n">
        <v>45736</v>
      </c>
      <c r="H16" s="79" t="s">
        <v>44</v>
      </c>
      <c r="I16" s="61" t="n">
        <v>12</v>
      </c>
      <c r="J16" s="68" t="s">
        <v>29</v>
      </c>
      <c r="K16" s="69"/>
      <c r="L16" s="69"/>
      <c r="M16" s="70"/>
      <c r="N16" s="70"/>
      <c r="O16" s="29"/>
      <c r="P16" s="69"/>
      <c r="Q16" s="71"/>
      <c r="R16" s="71"/>
      <c r="S16" s="71"/>
      <c r="T16" s="72"/>
      <c r="U16" s="72"/>
      <c r="V16" s="72"/>
      <c r="W16" s="72"/>
      <c r="X16" s="72"/>
      <c r="Y16" s="72"/>
      <c r="Z16" s="72"/>
      <c r="AA16" s="72"/>
      <c r="AB16" s="72"/>
      <c r="AC16" s="76"/>
      <c r="AD16" s="76"/>
      <c r="AE16" s="72"/>
      <c r="AF16" s="72"/>
      <c r="AG16" s="72"/>
      <c r="AH16" s="72"/>
    </row>
    <row r="17" customFormat="false" ht="23.25" hidden="false" customHeight="true" outlineLevel="2" collapsed="false">
      <c r="A17" s="61" t="s">
        <v>52</v>
      </c>
      <c r="B17" s="77" t="s">
        <v>53</v>
      </c>
      <c r="C17" s="63"/>
      <c r="D17" s="63" t="s">
        <v>49</v>
      </c>
      <c r="E17" s="81"/>
      <c r="F17" s="78" t="n">
        <v>45736</v>
      </c>
      <c r="G17" s="78" t="n">
        <v>45737</v>
      </c>
      <c r="H17" s="79" t="s">
        <v>40</v>
      </c>
      <c r="I17" s="61" t="n">
        <v>6</v>
      </c>
      <c r="J17" s="68" t="s">
        <v>29</v>
      </c>
      <c r="K17" s="69"/>
      <c r="L17" s="69"/>
      <c r="M17" s="70"/>
      <c r="N17" s="70"/>
      <c r="O17" s="29"/>
      <c r="P17" s="69"/>
      <c r="Q17" s="71"/>
      <c r="R17" s="71"/>
      <c r="S17" s="71"/>
      <c r="T17" s="72" t="s">
        <v>54</v>
      </c>
      <c r="U17" s="72"/>
      <c r="V17" s="72"/>
      <c r="W17" s="72"/>
      <c r="X17" s="72"/>
      <c r="Y17" s="72"/>
      <c r="Z17" s="72"/>
      <c r="AA17" s="72"/>
      <c r="AB17" s="72"/>
      <c r="AC17" s="76"/>
      <c r="AD17" s="76"/>
      <c r="AE17" s="72"/>
      <c r="AF17" s="72"/>
      <c r="AG17" s="72"/>
      <c r="AH17" s="72"/>
    </row>
    <row r="18" s="60" customFormat="true" ht="32.45" hidden="false" customHeight="true" outlineLevel="0" collapsed="false">
      <c r="A18" s="44" t="s">
        <v>55</v>
      </c>
      <c r="B18" s="45" t="s">
        <v>56</v>
      </c>
      <c r="C18" s="46"/>
      <c r="D18" s="47"/>
      <c r="E18" s="48"/>
      <c r="F18" s="49"/>
      <c r="G18" s="49"/>
      <c r="H18" s="50"/>
      <c r="I18" s="44"/>
      <c r="J18" s="51"/>
      <c r="K18" s="52"/>
      <c r="L18" s="52"/>
      <c r="M18" s="82"/>
      <c r="N18" s="83"/>
      <c r="O18" s="29"/>
      <c r="P18" s="55" t="n">
        <v>5</v>
      </c>
      <c r="Q18" s="55"/>
      <c r="R18" s="55"/>
      <c r="S18" s="56"/>
      <c r="T18" s="57"/>
      <c r="U18" s="57"/>
      <c r="V18" s="57"/>
      <c r="W18" s="57"/>
      <c r="X18" s="57"/>
      <c r="Y18" s="57"/>
      <c r="Z18" s="57"/>
      <c r="AA18" s="57"/>
      <c r="AB18" s="57"/>
      <c r="AC18" s="58"/>
      <c r="AD18" s="58"/>
      <c r="AE18" s="57"/>
      <c r="AF18" s="57"/>
      <c r="AG18" s="57"/>
      <c r="AH18" s="57"/>
      <c r="AI18" s="59"/>
    </row>
    <row r="19" customFormat="false" ht="21" hidden="false" customHeight="true" outlineLevel="1" collapsed="false">
      <c r="A19" s="61" t="s">
        <v>57</v>
      </c>
      <c r="B19" s="62" t="s">
        <v>58</v>
      </c>
      <c r="C19" s="64"/>
      <c r="D19" s="63" t="s">
        <v>59</v>
      </c>
      <c r="E19" s="84"/>
      <c r="F19" s="65" t="n">
        <v>45738</v>
      </c>
      <c r="G19" s="65" t="n">
        <v>45740</v>
      </c>
      <c r="H19" s="66" t="s">
        <v>44</v>
      </c>
      <c r="I19" s="75" t="n">
        <v>16</v>
      </c>
      <c r="J19" s="68" t="s">
        <v>29</v>
      </c>
      <c r="K19" s="69"/>
      <c r="L19" s="69"/>
      <c r="M19" s="70"/>
      <c r="N19" s="70"/>
      <c r="O19" s="70" t="str">
        <f aca="false">IF(K19=100%,"Hoàn Thành",IF(K19=0," ","Đang Thực Hiện"))</f>
        <v> </v>
      </c>
      <c r="P19" s="85"/>
      <c r="Q19" s="71"/>
      <c r="R19" s="71"/>
      <c r="S19" s="71"/>
      <c r="T19" s="72" t="s">
        <v>34</v>
      </c>
      <c r="U19" s="72"/>
      <c r="V19" s="72"/>
      <c r="W19" s="72"/>
      <c r="X19" s="72"/>
      <c r="Y19" s="72"/>
      <c r="Z19" s="72"/>
      <c r="AA19" s="72"/>
      <c r="AB19" s="72"/>
      <c r="AC19" s="73"/>
      <c r="AD19" s="73"/>
      <c r="AE19" s="72"/>
      <c r="AF19" s="72"/>
      <c r="AG19" s="72"/>
      <c r="AH19" s="72"/>
    </row>
    <row r="20" customFormat="false" ht="18.75" hidden="false" customHeight="true" outlineLevel="1" collapsed="false">
      <c r="A20" s="61" t="s">
        <v>60</v>
      </c>
      <c r="B20" s="62" t="s">
        <v>61</v>
      </c>
      <c r="C20" s="74"/>
      <c r="D20" s="63" t="s">
        <v>62</v>
      </c>
      <c r="E20" s="86"/>
      <c r="F20" s="65" t="n">
        <v>45737</v>
      </c>
      <c r="G20" s="65" t="n">
        <v>45737</v>
      </c>
      <c r="H20" s="66" t="s">
        <v>40</v>
      </c>
      <c r="I20" s="75" t="n">
        <v>8</v>
      </c>
      <c r="J20" s="68" t="s">
        <v>29</v>
      </c>
      <c r="K20" s="69"/>
      <c r="L20" s="69"/>
      <c r="M20" s="70"/>
      <c r="N20" s="70"/>
      <c r="O20" s="70"/>
      <c r="P20" s="85"/>
      <c r="Q20" s="71"/>
      <c r="R20" s="71"/>
      <c r="S20" s="71"/>
      <c r="T20" s="72"/>
      <c r="U20" s="72"/>
      <c r="V20" s="72"/>
      <c r="W20" s="72"/>
      <c r="X20" s="72"/>
      <c r="Y20" s="72"/>
      <c r="Z20" s="72"/>
      <c r="AA20" s="72"/>
      <c r="AB20" s="72"/>
      <c r="AC20" s="76"/>
      <c r="AD20" s="76"/>
      <c r="AE20" s="72"/>
      <c r="AF20" s="72"/>
      <c r="AG20" s="72"/>
      <c r="AH20" s="72"/>
    </row>
    <row r="21" customFormat="false" ht="18.75" hidden="false" customHeight="true" outlineLevel="1" collapsed="false">
      <c r="A21" s="61" t="s">
        <v>63</v>
      </c>
      <c r="B21" s="62" t="s">
        <v>64</v>
      </c>
      <c r="C21" s="74"/>
      <c r="D21" s="63" t="s">
        <v>59</v>
      </c>
      <c r="E21" s="74"/>
      <c r="F21" s="65" t="n">
        <v>45740</v>
      </c>
      <c r="G21" s="65" t="n">
        <v>45744</v>
      </c>
      <c r="H21" s="66" t="s">
        <v>44</v>
      </c>
      <c r="I21" s="75" t="n">
        <v>10</v>
      </c>
      <c r="J21" s="68" t="s">
        <v>29</v>
      </c>
      <c r="K21" s="69"/>
      <c r="L21" s="69"/>
      <c r="M21" s="70"/>
      <c r="N21" s="70"/>
      <c r="O21" s="70"/>
      <c r="P21" s="85"/>
      <c r="Q21" s="71"/>
      <c r="R21" s="71"/>
      <c r="S21" s="71"/>
      <c r="T21" s="72"/>
      <c r="U21" s="72"/>
      <c r="V21" s="72"/>
      <c r="W21" s="72"/>
      <c r="X21" s="72"/>
      <c r="Y21" s="72"/>
      <c r="Z21" s="72"/>
      <c r="AA21" s="72"/>
      <c r="AB21" s="72"/>
      <c r="AC21" s="76"/>
      <c r="AD21" s="76"/>
      <c r="AE21" s="72"/>
      <c r="AF21" s="72"/>
      <c r="AG21" s="72"/>
      <c r="AH21" s="72"/>
    </row>
    <row r="22" s="89" customFormat="true" ht="23.45" hidden="false" customHeight="true" outlineLevel="0" collapsed="false">
      <c r="A22" s="44" t="s">
        <v>65</v>
      </c>
      <c r="B22" s="45" t="s">
        <v>66</v>
      </c>
      <c r="C22" s="46"/>
      <c r="D22" s="87"/>
      <c r="E22" s="48"/>
      <c r="F22" s="49"/>
      <c r="G22" s="49"/>
      <c r="H22" s="50"/>
      <c r="I22" s="33"/>
      <c r="J22" s="37"/>
      <c r="K22" s="52"/>
      <c r="L22" s="52"/>
      <c r="M22" s="48"/>
      <c r="N22" s="48"/>
      <c r="O22" s="48"/>
      <c r="P22" s="55" t="n">
        <v>80</v>
      </c>
      <c r="Q22" s="55"/>
      <c r="R22" s="55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</row>
    <row r="23" s="92" customFormat="true" ht="15" hidden="false" customHeight="true" outlineLevel="1" collapsed="false">
      <c r="A23" s="61" t="s">
        <v>67</v>
      </c>
      <c r="B23" s="77" t="s">
        <v>68</v>
      </c>
      <c r="C23" s="77"/>
      <c r="D23" s="63" t="s">
        <v>69</v>
      </c>
      <c r="E23" s="77"/>
      <c r="F23" s="78" t="n">
        <v>45760</v>
      </c>
      <c r="G23" s="78" t="n">
        <f aca="false">F23+I23</f>
        <v>45800</v>
      </c>
      <c r="H23" s="79" t="s">
        <v>40</v>
      </c>
      <c r="I23" s="67" t="n">
        <f aca="false">20*2</f>
        <v>40</v>
      </c>
      <c r="J23" s="68" t="s">
        <v>29</v>
      </c>
      <c r="K23" s="77"/>
      <c r="L23" s="77"/>
      <c r="M23" s="77"/>
      <c r="N23" s="77"/>
      <c r="O23" s="90"/>
      <c r="P23" s="55" t="n">
        <v>20</v>
      </c>
      <c r="Q23" s="41"/>
      <c r="R23" s="4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="92" customFormat="true" ht="15" hidden="false" customHeight="true" outlineLevel="1" collapsed="false">
      <c r="A24" s="61" t="s">
        <v>70</v>
      </c>
      <c r="B24" s="77" t="s">
        <v>71</v>
      </c>
      <c r="C24" s="77"/>
      <c r="D24" s="63" t="s">
        <v>69</v>
      </c>
      <c r="E24" s="77"/>
      <c r="F24" s="78" t="n">
        <f aca="false">G23+1</f>
        <v>45801</v>
      </c>
      <c r="G24" s="78" t="n">
        <f aca="false">F24+I24</f>
        <v>45865</v>
      </c>
      <c r="H24" s="79" t="s">
        <v>40</v>
      </c>
      <c r="I24" s="67" t="n">
        <f aca="false">32*2</f>
        <v>64</v>
      </c>
      <c r="J24" s="68" t="s">
        <v>29</v>
      </c>
      <c r="K24" s="77"/>
      <c r="L24" s="77"/>
      <c r="M24" s="77"/>
      <c r="N24" s="77"/>
      <c r="O24" s="90"/>
      <c r="P24" s="55" t="n">
        <v>10</v>
      </c>
      <c r="Q24" s="41"/>
      <c r="R24" s="4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</row>
    <row r="25" s="92" customFormat="true" ht="15" hidden="false" customHeight="true" outlineLevel="1" collapsed="false">
      <c r="A25" s="61" t="s">
        <v>72</v>
      </c>
      <c r="B25" s="77" t="s">
        <v>73</v>
      </c>
      <c r="C25" s="77"/>
      <c r="D25" s="63" t="s">
        <v>74</v>
      </c>
      <c r="E25" s="77"/>
      <c r="F25" s="78" t="n">
        <f aca="false">G24+1</f>
        <v>45866</v>
      </c>
      <c r="G25" s="78" t="n">
        <f aca="false">F25+I25</f>
        <v>45898</v>
      </c>
      <c r="H25" s="79" t="s">
        <v>44</v>
      </c>
      <c r="I25" s="67" t="n">
        <f aca="false">16*2</f>
        <v>32</v>
      </c>
      <c r="J25" s="68" t="s">
        <v>29</v>
      </c>
      <c r="K25" s="77"/>
      <c r="L25" s="77"/>
      <c r="M25" s="77"/>
      <c r="N25" s="77"/>
      <c r="O25" s="90"/>
      <c r="P25" s="41" t="n">
        <v>10</v>
      </c>
      <c r="Q25" s="41"/>
      <c r="R25" s="4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="3" customFormat="true" ht="18" hidden="false" customHeight="false" outlineLevel="0" collapsed="false">
      <c r="A26" s="44" t="s">
        <v>75</v>
      </c>
      <c r="B26" s="45" t="s">
        <v>76</v>
      </c>
      <c r="C26" s="46"/>
      <c r="D26" s="87"/>
      <c r="E26" s="48"/>
      <c r="F26" s="49"/>
      <c r="G26" s="49"/>
      <c r="H26" s="50"/>
      <c r="I26" s="33"/>
      <c r="J26" s="37"/>
      <c r="K26" s="52"/>
      <c r="L26" s="52"/>
      <c r="M26" s="48"/>
      <c r="N26" s="48"/>
      <c r="O26" s="81"/>
      <c r="P26" s="93"/>
      <c r="Q26" s="94"/>
      <c r="R26" s="94"/>
    </row>
    <row r="27" s="3" customFormat="true" ht="18" hidden="false" customHeight="false" outlineLevel="1" collapsed="false">
      <c r="A27" s="61" t="s">
        <v>77</v>
      </c>
      <c r="B27" s="77" t="s">
        <v>78</v>
      </c>
      <c r="C27" s="95"/>
      <c r="D27" s="63" t="s">
        <v>69</v>
      </c>
      <c r="E27" s="96"/>
      <c r="F27" s="78" t="n">
        <v>45750</v>
      </c>
      <c r="G27" s="78" t="n">
        <f aca="false">F27+I27</f>
        <v>45792</v>
      </c>
      <c r="H27" s="79" t="s">
        <v>44</v>
      </c>
      <c r="I27" s="67" t="n">
        <f aca="false">6*7</f>
        <v>42</v>
      </c>
      <c r="J27" s="68" t="s">
        <v>29</v>
      </c>
      <c r="K27" s="97"/>
      <c r="L27" s="97"/>
      <c r="M27" s="98"/>
      <c r="N27" s="98"/>
      <c r="O27" s="81"/>
      <c r="P27" s="93"/>
      <c r="Q27" s="94"/>
      <c r="R27" s="94"/>
    </row>
    <row r="28" s="3" customFormat="true" ht="18" hidden="false" customHeight="false" outlineLevel="1" collapsed="false">
      <c r="A28" s="61" t="s">
        <v>79</v>
      </c>
      <c r="B28" s="77" t="s">
        <v>80</v>
      </c>
      <c r="C28" s="95"/>
      <c r="D28" s="63" t="s">
        <v>69</v>
      </c>
      <c r="E28" s="96"/>
      <c r="F28" s="78" t="n">
        <f aca="false">F27</f>
        <v>45750</v>
      </c>
      <c r="G28" s="78" t="n">
        <f aca="false">F28+I28</f>
        <v>45854</v>
      </c>
      <c r="H28" s="79" t="s">
        <v>44</v>
      </c>
      <c r="I28" s="67" t="n">
        <f aca="false">13*8</f>
        <v>104</v>
      </c>
      <c r="J28" s="68" t="s">
        <v>29</v>
      </c>
      <c r="K28" s="97"/>
      <c r="L28" s="97"/>
      <c r="M28" s="98"/>
      <c r="N28" s="98"/>
      <c r="O28" s="81"/>
      <c r="P28" s="93"/>
      <c r="Q28" s="94"/>
      <c r="R28" s="94"/>
    </row>
    <row r="29" s="3" customFormat="true" ht="18" hidden="false" customHeight="false" outlineLevel="1" collapsed="false">
      <c r="A29" s="61" t="s">
        <v>81</v>
      </c>
      <c r="B29" s="77" t="s">
        <v>82</v>
      </c>
      <c r="C29" s="95"/>
      <c r="D29" s="63" t="s">
        <v>69</v>
      </c>
      <c r="E29" s="96"/>
      <c r="F29" s="78" t="n">
        <f aca="false">F28</f>
        <v>45750</v>
      </c>
      <c r="G29" s="78" t="n">
        <f aca="false">F29+I29</f>
        <v>45763</v>
      </c>
      <c r="H29" s="79" t="s">
        <v>40</v>
      </c>
      <c r="I29" s="67" t="n">
        <v>13</v>
      </c>
      <c r="J29" s="68" t="s">
        <v>29</v>
      </c>
      <c r="K29" s="97"/>
      <c r="L29" s="97"/>
      <c r="M29" s="98"/>
      <c r="N29" s="98"/>
      <c r="O29" s="81"/>
      <c r="P29" s="93"/>
      <c r="Q29" s="94"/>
      <c r="R29" s="94"/>
    </row>
    <row r="30" s="3" customFormat="true" ht="18" hidden="false" customHeight="false" outlineLevel="1" collapsed="false">
      <c r="A30" s="61" t="s">
        <v>83</v>
      </c>
      <c r="B30" s="77" t="s">
        <v>84</v>
      </c>
      <c r="C30" s="95"/>
      <c r="D30" s="63" t="s">
        <v>69</v>
      </c>
      <c r="E30" s="96"/>
      <c r="F30" s="78" t="n">
        <f aca="false">G29-2</f>
        <v>45761</v>
      </c>
      <c r="G30" s="78" t="n">
        <f aca="false">F30+I30</f>
        <v>45781</v>
      </c>
      <c r="H30" s="79" t="s">
        <v>44</v>
      </c>
      <c r="I30" s="67" t="n">
        <v>20</v>
      </c>
      <c r="J30" s="68" t="s">
        <v>29</v>
      </c>
      <c r="K30" s="97"/>
      <c r="L30" s="97"/>
      <c r="M30" s="98"/>
      <c r="N30" s="98"/>
      <c r="O30" s="81"/>
      <c r="P30" s="93"/>
      <c r="Q30" s="94"/>
      <c r="R30" s="94"/>
    </row>
    <row r="31" s="3" customFormat="true" ht="18" hidden="false" customHeight="false" outlineLevel="1" collapsed="false">
      <c r="A31" s="61" t="s">
        <v>85</v>
      </c>
      <c r="B31" s="77" t="s">
        <v>86</v>
      </c>
      <c r="C31" s="95"/>
      <c r="D31" s="63" t="s">
        <v>69</v>
      </c>
      <c r="E31" s="96"/>
      <c r="F31" s="78" t="n">
        <f aca="false">G30+1</f>
        <v>45782</v>
      </c>
      <c r="G31" s="78" t="n">
        <f aca="false">F31+I31</f>
        <v>45792</v>
      </c>
      <c r="H31" s="79" t="s">
        <v>40</v>
      </c>
      <c r="I31" s="67" t="n">
        <v>10</v>
      </c>
      <c r="J31" s="68" t="s">
        <v>29</v>
      </c>
      <c r="K31" s="97"/>
      <c r="L31" s="97"/>
      <c r="M31" s="98"/>
      <c r="N31" s="98"/>
      <c r="O31" s="81"/>
      <c r="P31" s="93"/>
      <c r="Q31" s="94"/>
      <c r="R31" s="94"/>
    </row>
    <row r="32" s="3" customFormat="true" ht="18" hidden="false" customHeight="false" outlineLevel="1" collapsed="false">
      <c r="A32" s="61" t="s">
        <v>87</v>
      </c>
      <c r="B32" s="77" t="s">
        <v>88</v>
      </c>
      <c r="C32" s="95"/>
      <c r="D32" s="63" t="s">
        <v>69</v>
      </c>
      <c r="E32" s="96"/>
      <c r="F32" s="78" t="n">
        <f aca="false">G30</f>
        <v>45781</v>
      </c>
      <c r="G32" s="78" t="n">
        <f aca="false">F32+I32</f>
        <v>45785</v>
      </c>
      <c r="H32" s="79" t="s">
        <v>40</v>
      </c>
      <c r="I32" s="67" t="n">
        <v>4</v>
      </c>
      <c r="J32" s="68" t="s">
        <v>29</v>
      </c>
      <c r="K32" s="97"/>
      <c r="L32" s="97"/>
      <c r="M32" s="98"/>
      <c r="N32" s="98"/>
      <c r="O32" s="81"/>
      <c r="P32" s="93"/>
      <c r="Q32" s="94"/>
      <c r="R32" s="94"/>
    </row>
    <row r="33" s="3" customFormat="true" ht="18" hidden="false" customHeight="false" outlineLevel="1" collapsed="false">
      <c r="A33" s="61" t="s">
        <v>89</v>
      </c>
      <c r="B33" s="77" t="s">
        <v>90</v>
      </c>
      <c r="C33" s="95"/>
      <c r="D33" s="63" t="s">
        <v>69</v>
      </c>
      <c r="E33" s="96"/>
      <c r="F33" s="78" t="n">
        <f aca="false">G32+1</f>
        <v>45786</v>
      </c>
      <c r="G33" s="78" t="n">
        <f aca="false">F33+I33</f>
        <v>45802</v>
      </c>
      <c r="H33" s="79" t="s">
        <v>40</v>
      </c>
      <c r="I33" s="67" t="n">
        <v>16</v>
      </c>
      <c r="J33" s="68" t="s">
        <v>29</v>
      </c>
      <c r="K33" s="97"/>
      <c r="L33" s="97"/>
      <c r="M33" s="98"/>
      <c r="N33" s="98"/>
      <c r="O33" s="81"/>
      <c r="P33" s="93"/>
      <c r="Q33" s="94"/>
      <c r="R33" s="94"/>
    </row>
    <row r="34" s="89" customFormat="true" ht="18" hidden="false" customHeight="false" outlineLevel="0" collapsed="false">
      <c r="A34" s="44" t="s">
        <v>91</v>
      </c>
      <c r="B34" s="45"/>
      <c r="C34" s="46"/>
      <c r="D34" s="87"/>
      <c r="E34" s="48"/>
      <c r="F34" s="44"/>
      <c r="G34" s="49"/>
      <c r="H34" s="50"/>
      <c r="I34" s="44" t="n">
        <f aca="false">SUM(I10:I33)</f>
        <v>434</v>
      </c>
      <c r="J34" s="51"/>
      <c r="K34" s="52" t="n">
        <f aca="false">SUM(K35*$P35+K36*$P36+K37*$P37+K38*$P38+K39*$P39)/100</f>
        <v>0</v>
      </c>
      <c r="L34" s="52" t="n">
        <f aca="false">SUM(L35*$P35+L36*$P36+L37*$P37+L38*$P38+L39*$P39)/100</f>
        <v>0</v>
      </c>
      <c r="M34" s="48"/>
      <c r="N34" s="51" t="s">
        <v>92</v>
      </c>
      <c r="O34" s="48" t="str">
        <f aca="false">IF(K34=100%,"Hoàn Thành",IF(K34=0," ","Đang Thực Hiện"))</f>
        <v> </v>
      </c>
      <c r="P34" s="55" t="n">
        <v>15</v>
      </c>
      <c r="Q34" s="55"/>
      <c r="R34" s="55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</row>
    <row r="35" customFormat="false" ht="18" hidden="false" customHeight="false" outlineLevel="0" collapsed="false">
      <c r="J35" s="51" t="s">
        <v>29</v>
      </c>
      <c r="AC35" s="3"/>
      <c r="AD35" s="3"/>
    </row>
    <row r="36" customFormat="false" ht="14.25" hidden="false" customHeight="false" outlineLevel="0" collapsed="false">
      <c r="AC36" s="3"/>
      <c r="AD36" s="3"/>
    </row>
    <row r="37" customFormat="false" ht="14.25" hidden="false" customHeight="false" outlineLevel="0" collapsed="false">
      <c r="AC37" s="3"/>
      <c r="AD37" s="3"/>
    </row>
    <row r="38" customFormat="false" ht="14.25" hidden="false" customHeight="false" outlineLevel="0" collapsed="false">
      <c r="AC38" s="3"/>
      <c r="AD38" s="3"/>
    </row>
    <row r="39" customFormat="false" ht="14.25" hidden="false" customHeight="false" outlineLevel="0" collapsed="false">
      <c r="AC39" s="3"/>
      <c r="AD39" s="3"/>
    </row>
    <row r="40" customFormat="false" ht="14.25" hidden="false" customHeight="false" outlineLevel="0" collapsed="false">
      <c r="AC40" s="3"/>
      <c r="AD40" s="3"/>
    </row>
    <row r="41" customFormat="false" ht="14.25" hidden="false" customHeight="false" outlineLevel="0" collapsed="false">
      <c r="AC41" s="3"/>
      <c r="AD41" s="3"/>
    </row>
  </sheetData>
  <mergeCells count="18">
    <mergeCell ref="C1:K3"/>
    <mergeCell ref="A2:B2"/>
    <mergeCell ref="A3:B3"/>
    <mergeCell ref="C5:D5"/>
    <mergeCell ref="E5:K5"/>
    <mergeCell ref="C6:D6"/>
    <mergeCell ref="E6:G6"/>
    <mergeCell ref="C7:C8"/>
    <mergeCell ref="D7:D8"/>
    <mergeCell ref="F7:G7"/>
    <mergeCell ref="H7:H8"/>
    <mergeCell ref="I7:I8"/>
    <mergeCell ref="M7:M8"/>
    <mergeCell ref="N7:N8"/>
    <mergeCell ref="O7:O18"/>
    <mergeCell ref="P10:P16"/>
    <mergeCell ref="O19:O21"/>
    <mergeCell ref="P19:P21"/>
  </mergeCells>
  <conditionalFormatting sqref="K9 K29">
    <cfRule type="dataBar" priority="2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{9DBF8DE0-92AA-4480-B0C4-E51039C0F0E4}</x14:id>
        </ext>
      </extLst>
    </cfRule>
  </conditionalFormatting>
  <conditionalFormatting sqref="K18">
    <cfRule type="dataBar" priority="3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{BFD53C13-AED2-45B1-B57D-243A503B9FED}</x14:id>
        </ext>
      </extLst>
    </cfRule>
  </conditionalFormatting>
  <conditionalFormatting sqref="K22">
    <cfRule type="dataBar" priority="4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{C5FC9A32-E094-4863-B389-2A162C639A69}</x14:id>
        </ext>
      </extLst>
    </cfRule>
  </conditionalFormatting>
  <conditionalFormatting sqref="K26:K28 K8">
    <cfRule type="dataBar" priority="5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{F1E0F118-2749-472E-A574-65277DAD5220}</x14:id>
        </ext>
      </extLst>
    </cfRule>
  </conditionalFormatting>
  <conditionalFormatting sqref="K30">
    <cfRule type="dataBar" priority="6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{DB909797-ED45-4767-A8B1-4E5DD4F52580}</x14:id>
        </ext>
      </extLst>
    </cfRule>
  </conditionalFormatting>
  <conditionalFormatting sqref="K31">
    <cfRule type="dataBar" priority="7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{B9C3CD10-BA6A-48DF-B960-3391636016D6}</x14:id>
        </ext>
      </extLst>
    </cfRule>
  </conditionalFormatting>
  <conditionalFormatting sqref="K32">
    <cfRule type="dataBar" priority="8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{D346BD58-377F-4C32-95F1-DEF45B27C034}</x14:id>
        </ext>
      </extLst>
    </cfRule>
  </conditionalFormatting>
  <conditionalFormatting sqref="K33">
    <cfRule type="dataBar" priority="9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{64FDF5FE-63A0-4859-9B46-C05EE1E1994C}</x14:id>
        </ext>
      </extLst>
    </cfRule>
  </conditionalFormatting>
  <conditionalFormatting sqref="K34">
    <cfRule type="dataBar" priority="10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{C0631DB2-19A5-4CAB-BB4F-CBF964AD6210}</x14:id>
        </ext>
      </extLst>
    </cfRule>
  </conditionalFormatting>
  <conditionalFormatting sqref="L8 L29">
    <cfRule type="dataBar" priority="11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{5529AECB-4FC3-4E65-BF14-5FC343C3DAEA}</x14:id>
        </ext>
      </extLst>
    </cfRule>
  </conditionalFormatting>
  <conditionalFormatting sqref="L9">
    <cfRule type="dataBar" priority="12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{50CAD2E3-B018-457A-BEF7-F4C4A68A5755}</x14:id>
        </ext>
      </extLst>
    </cfRule>
  </conditionalFormatting>
  <conditionalFormatting sqref="L18">
    <cfRule type="dataBar" priority="13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{6B60CD11-C937-4E23-B39C-E78B525AE176}</x14:id>
        </ext>
      </extLst>
    </cfRule>
  </conditionalFormatting>
  <conditionalFormatting sqref="L22">
    <cfRule type="dataBar" priority="14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{50EF463C-F15C-49CD-9F84-B01B6A63E4A2}</x14:id>
        </ext>
      </extLst>
    </cfRule>
  </conditionalFormatting>
  <conditionalFormatting sqref="L26:L28">
    <cfRule type="dataBar" priority="15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{7E998F6E-CE18-4FC1-B2F3-464FAAD42BB3}</x14:id>
        </ext>
      </extLst>
    </cfRule>
  </conditionalFormatting>
  <conditionalFormatting sqref="L30">
    <cfRule type="dataBar" priority="16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{6ADDD033-64F8-4F15-8973-78717E879ABF}</x14:id>
        </ext>
      </extLst>
    </cfRule>
  </conditionalFormatting>
  <conditionalFormatting sqref="L31">
    <cfRule type="dataBar" priority="17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{43706168-5B88-4D73-B761-632C6C3F8A22}</x14:id>
        </ext>
      </extLst>
    </cfRule>
  </conditionalFormatting>
  <conditionalFormatting sqref="L32">
    <cfRule type="dataBar" priority="18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{76968E18-C91D-4BD7-9C79-B9AF6BAB63F3}</x14:id>
        </ext>
      </extLst>
    </cfRule>
  </conditionalFormatting>
  <conditionalFormatting sqref="L33">
    <cfRule type="dataBar" priority="19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{79F9EF56-F95C-49FA-B2E1-B77FD23230DC}</x14:id>
        </ext>
      </extLst>
    </cfRule>
  </conditionalFormatting>
  <conditionalFormatting sqref="L34">
    <cfRule type="dataBar" priority="20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{B62FF2B4-9DDF-4682-8C7F-BB62919F9394}</x14:id>
        </ext>
      </extLst>
    </cfRule>
  </conditionalFormatting>
  <conditionalFormatting sqref="P23">
    <cfRule type="dataBar" priority="21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{11617015-7049-4A27-A0A4-1D8048E71E32}</x14:id>
        </ext>
      </extLst>
    </cfRule>
    <cfRule type="dataBar" priority="22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{CC3C9DAD-53E0-4FFB-9897-51133F8835B0}</x14:id>
        </ext>
      </extLst>
    </cfRule>
    <cfRule type="dataBar" priority="23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{667C7830-001F-4132-831F-DA91D7CFAAB8}</x14:id>
        </ext>
      </extLst>
    </cfRule>
    <cfRule type="dataBar" priority="24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{C6481DAC-13C8-4031-806D-C270E0A2AF15}</x14:id>
        </ext>
      </extLst>
    </cfRule>
    <cfRule type="dataBar" priority="25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{60971771-BEBC-4B1C-A481-2F65AC583789}</x14:id>
        </ext>
      </extLst>
    </cfRule>
    <cfRule type="dataBar" priority="26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{70A38924-1480-4BB4-87F7-222582DB7650}</x14:id>
        </ext>
      </extLst>
    </cfRule>
  </conditionalFormatting>
  <conditionalFormatting sqref="P24">
    <cfRule type="dataBar" priority="27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{93B9ED91-9984-4D52-94A2-CC9B26D2ADC5}</x14:id>
        </ext>
      </extLst>
    </cfRule>
    <cfRule type="dataBar" priority="28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{C58DD67A-84A5-4BD6-9F29-48B5B67A9B24}</x14:id>
        </ext>
      </extLst>
    </cfRule>
    <cfRule type="dataBar" priority="29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{5D1CA7A9-7A2B-4690-90E1-70E84D8EDE50}</x14:id>
        </ext>
      </extLst>
    </cfRule>
    <cfRule type="dataBar" priority="30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{99DC661B-69F9-4FB6-B480-42F5A3E0264C}</x14:id>
        </ext>
      </extLst>
    </cfRule>
    <cfRule type="dataBar" priority="31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{7AF1B0C9-F1ED-4430-AAEA-EBED63C5FC19}</x14:id>
        </ext>
      </extLst>
    </cfRule>
    <cfRule type="dataBar" priority="32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{90A58D85-F278-4B69-B78B-7D7164DC9A91}</x14:id>
        </ext>
      </extLst>
    </cfRule>
  </conditionalFormatting>
  <conditionalFormatting sqref="P8:R8">
    <cfRule type="dataBar" priority="3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{73902BC2-17DD-4084-905E-2C107B2A8E24}</x14:id>
        </ext>
      </extLst>
    </cfRule>
    <cfRule type="dataBar" priority="3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{861D151E-48FB-4715-BE18-8AB0E8131234}</x14:id>
        </ext>
      </extLst>
    </cfRule>
    <cfRule type="dataBar" priority="35">
      <dataBar showValue="1" minLength="10" maxLength="90">
        <cfvo type="min" val="0"/>
        <cfvo type="max" val="0"/>
        <color rgb="FFBDD7EE"/>
      </dataBar>
      <extLst>
        <ext xmlns:x14="http://schemas.microsoft.com/office/spreadsheetml/2009/9/main" uri="{B025F937-C7B1-47D3-B67F-A62EFF666E3E}">
          <x14:id>{7CCE272C-F8E6-411B-B170-E8508E877D5B}</x14:id>
        </ext>
      </extLst>
    </cfRule>
    <cfRule type="dataBar" priority="36">
      <dataBar showValue="1" minLength="10" maxLength="90">
        <cfvo type="min" val="0"/>
        <cfvo type="max" val="0"/>
        <color rgb="FFB4C7E7"/>
      </dataBar>
      <extLst>
        <ext xmlns:x14="http://schemas.microsoft.com/office/spreadsheetml/2009/9/main" uri="{B025F937-C7B1-47D3-B67F-A62EFF666E3E}">
          <x14:id>{EF535469-AC68-4E3D-8890-117CAE36C112}</x14:id>
        </ext>
      </extLst>
    </cfRule>
  </conditionalFormatting>
  <conditionalFormatting sqref="P9:R9">
    <cfRule type="dataBar" priority="37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{A6A0582F-6CD1-4CFD-AF6D-BF919A118CB0}</x14:id>
        </ext>
      </extLst>
    </cfRule>
    <cfRule type="dataBar" priority="38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{8C482E83-F6BA-4EAF-95DC-883C40241F8F}</x14:id>
        </ext>
      </extLst>
    </cfRule>
    <cfRule type="dataBar" priority="39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{E1F013C0-6640-4645-B868-F3CD78E2AD24}</x14:id>
        </ext>
      </extLst>
    </cfRule>
    <cfRule type="dataBar" priority="40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{7D87465A-6860-4FE8-9065-1BA185C7F2F4}</x14:id>
        </ext>
      </extLst>
    </cfRule>
    <cfRule type="dataBar" priority="41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{355D994B-68E8-416C-A124-CA61D5D750DD}</x14:id>
        </ext>
      </extLst>
    </cfRule>
    <cfRule type="dataBar" priority="42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{C5382346-3355-485C-ADBA-7F44CC5F202A}</x14:id>
        </ext>
      </extLst>
    </cfRule>
  </conditionalFormatting>
  <conditionalFormatting sqref="P18:R18 P8:R8">
    <cfRule type="dataBar" priority="43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{573F7D78-58FB-4196-B22A-F273BEAAD085}</x14:id>
        </ext>
      </extLst>
    </cfRule>
    <cfRule type="dataBar" priority="44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{92CC6875-5CE3-4B5E-BA7F-375D437BD0CA}</x14:id>
        </ext>
      </extLst>
    </cfRule>
    <cfRule type="dataBar" priority="45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{39F258FB-FE20-4EAF-A8FA-435087BE7E9B}</x14:id>
        </ext>
      </extLst>
    </cfRule>
    <cfRule type="dataBar" priority="46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{B58468BC-4DA0-4D61-ACEE-4E52F05295A7}</x14:id>
        </ext>
      </extLst>
    </cfRule>
    <cfRule type="dataBar" priority="47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{2BCFE9B7-D94B-488D-9E64-A0CECB93FCF1}</x14:id>
        </ext>
      </extLst>
    </cfRule>
    <cfRule type="dataBar" priority="48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{38EAFCE3-E1CE-4437-8A51-E79A1CF1ACA5}</x14:id>
        </ext>
      </extLst>
    </cfRule>
  </conditionalFormatting>
  <conditionalFormatting sqref="P22:R22 Q23:R23">
    <cfRule type="dataBar" priority="49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{EC4B6043-3FE4-45E2-A843-A7B0695FF048}</x14:id>
        </ext>
      </extLst>
    </cfRule>
    <cfRule type="dataBar" priority="50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{23DA5C10-F1BB-42FE-9EF7-5FF8CA99FF17}</x14:id>
        </ext>
      </extLst>
    </cfRule>
    <cfRule type="dataBar" priority="51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{1DA0DB95-3C74-4F13-A8DA-1993D6F6914B}</x14:id>
        </ext>
      </extLst>
    </cfRule>
    <cfRule type="dataBar" priority="52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{1C45B35F-AA95-464F-B13F-80539B57A9A9}</x14:id>
        </ext>
      </extLst>
    </cfRule>
    <cfRule type="dataBar" priority="53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{80A29AEB-7121-47C7-AF7E-E4386324D6EE}</x14:id>
        </ext>
      </extLst>
    </cfRule>
    <cfRule type="dataBar" priority="54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{E8C77D74-CFCE-4B19-8AEF-733BB835F826}</x14:id>
        </ext>
      </extLst>
    </cfRule>
  </conditionalFormatting>
  <conditionalFormatting sqref="P25:R25">
    <cfRule type="dataBar" priority="55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{2D5E5334-DC00-42D3-A9E6-3A8B9FFCD75E}</x14:id>
        </ext>
      </extLst>
    </cfRule>
    <cfRule type="dataBar" priority="56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{48AB74EC-7F88-4282-9974-A670CE5B9C19}</x14:id>
        </ext>
      </extLst>
    </cfRule>
    <cfRule type="dataBar" priority="57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{77D663A0-38DD-472E-AC40-6062EC3076E1}</x14:id>
        </ext>
      </extLst>
    </cfRule>
    <cfRule type="dataBar" priority="58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{10AA8574-FB3C-4D24-9AA2-F7C3EB29AF9A}</x14:id>
        </ext>
      </extLst>
    </cfRule>
    <cfRule type="dataBar" priority="59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{6C54A7AA-D46A-44DD-BEB4-58226C4B23C6}</x14:id>
        </ext>
      </extLst>
    </cfRule>
    <cfRule type="dataBar" priority="60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{DA9AE630-912C-4C86-A883-C31DED615AFC}</x14:id>
        </ext>
      </extLst>
    </cfRule>
  </conditionalFormatting>
  <conditionalFormatting sqref="P34:R34">
    <cfRule type="dataBar" priority="61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{41739E9E-3542-40D5-9483-F0663AA7BF4A}</x14:id>
        </ext>
      </extLst>
    </cfRule>
    <cfRule type="dataBar" priority="62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{62B0F437-AD7B-4E53-97BE-B0F0BD777051}</x14:id>
        </ext>
      </extLst>
    </cfRule>
    <cfRule type="dataBar" priority="63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{2C1CAAB8-F04C-4AFD-B387-3EAACF10EDEC}</x14:id>
        </ext>
      </extLst>
    </cfRule>
    <cfRule type="dataBar" priority="64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{1CD4CC17-E515-4F44-AC26-312B36E543E1}</x14:id>
        </ext>
      </extLst>
    </cfRule>
    <cfRule type="dataBar" priority="65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{A5BDCDFD-5FA0-4852-A5DF-2244491EB199}</x14:id>
        </ext>
      </extLst>
    </cfRule>
    <cfRule type="dataBar" priority="66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{62FE5E63-E3E3-44E1-A074-9D895897DE15}</x14:id>
        </ext>
      </extLst>
    </cfRule>
  </conditionalFormatting>
  <conditionalFormatting sqref="Q24:R24">
    <cfRule type="dataBar" priority="67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{48A74770-217F-488D-8B51-1A5A7EE6007C}</x14:id>
        </ext>
      </extLst>
    </cfRule>
    <cfRule type="dataBar" priority="68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{D2B457EC-FDD5-4F35-8530-7B31F5E57FE4}</x14:id>
        </ext>
      </extLst>
    </cfRule>
    <cfRule type="dataBar" priority="69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{FB3AC6E5-1F37-4A2E-95DF-383C814E1A80}</x14:id>
        </ext>
      </extLst>
    </cfRule>
    <cfRule type="dataBar" priority="70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{DD7F3022-D020-4070-9766-89B740DEE4DC}</x14:id>
        </ext>
      </extLst>
    </cfRule>
    <cfRule type="dataBar" priority="71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{6633CCB0-F089-4020-ABBF-9A916881F6CC}</x14:id>
        </ext>
      </extLst>
    </cfRule>
    <cfRule type="dataBar" priority="72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{26F3C3C0-90AC-4FA2-B73F-7015CE8C7882}</x14:id>
        </ext>
      </extLst>
    </cfRule>
  </conditionalFormatting>
  <dataValidations count="4">
    <dataValidation allowBlank="true" operator="between" showDropDown="false" showErrorMessage="true" showInputMessage="true" sqref="C35:C1035" type="list">
      <formula1>$T$19:$T$21</formula1>
      <formula2>0</formula2>
    </dataValidation>
    <dataValidation allowBlank="true" operator="between" showDropDown="false" showErrorMessage="true" showInputMessage="true" sqref="O22:O23" type="list">
      <formula1>$S$18:$S$21</formula1>
      <formula2>0</formula2>
    </dataValidation>
    <dataValidation allowBlank="true" operator="between" showDropDown="false" showErrorMessage="true" showInputMessage="true" sqref="C9 C18 C22:C34" type="list">
      <formula1>$W$18:$W$21</formula1>
      <formula2>0</formula2>
    </dataValidation>
    <dataValidation allowBlank="true" operator="between" showDropDown="false" showErrorMessage="true" showInputMessage="true" sqref="O35:O1035" type="list">
      <formula1>$P$19:$P$21</formula1>
      <formula2>0</formula2>
    </dataValidation>
  </dataValidations>
  <printOptions headings="false" gridLines="false" gridLinesSet="true" horizontalCentered="true" verticalCentered="false"/>
  <pageMargins left="0" right="0" top="0.25" bottom="0.25" header="0.511805555555555" footer="0"/>
  <pageSetup paperSize="8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>&amp;L&amp;"Arial,Italic"PJ-P03-F04(18-06-2020)&amp;R&amp;"Arial,Italic"Page &amp;P of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BF8DE0-92AA-4480-B0C4-E51039C0F0E4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BFD53C13-AED2-45B1-B57D-243A503B9FED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C5FC9A32-E094-4863-B389-2A162C639A69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F1E0F118-2749-472E-A574-65277DAD5220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DB909797-ED45-4767-A8B1-4E5DD4F52580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B9C3CD10-BA6A-48DF-B960-3391636016D6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D346BD58-377F-4C32-95F1-DEF45B27C034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64FDF5FE-63A0-4859-9B46-C05EE1E1994C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0631DB2-19A5-4CAB-BB4F-CBF964AD6210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5529AECB-4FC3-4E65-BF14-5FC343C3DAEA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50CAD2E3-B018-457A-BEF7-F4C4A68A5755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B60CD11-C937-4E23-B39C-E78B525AE176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0EF463C-F15C-49CD-9F84-B01B6A63E4A2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E998F6E-CE18-4FC1-B2F3-464FAAD42BB3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6ADDD033-64F8-4F15-8973-78717E879ABF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3706168-5B88-4D73-B761-632C6C3F8A22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76968E18-C91D-4BD7-9C79-B9AF6BAB63F3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79F9EF56-F95C-49FA-B2E1-B77FD23230DC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B62FF2B4-9DDF-4682-8C7F-BB62919F9394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11617015-7049-4A27-A0A4-1D8048E71E3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3C9DAD-53E0-4FFB-9897-51133F8835B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7C7830-001F-4132-831F-DA91D7CFAAB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481DAC-13C8-4031-806D-C270E0A2AF1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971771-BEBC-4B1C-A481-2F65AC58378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A38924-1480-4BB4-87F7-222582DB765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93B9ED91-9984-4D52-94A2-CC9B26D2ADC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8DD67A-84A5-4BD6-9F29-48B5B67A9B24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1CA7A9-7A2B-4690-90E1-70E84D8EDE5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DC661B-69F9-4FB6-B480-42F5A3E0264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F1B0C9-F1ED-4430-AAEA-EBED63C5FC1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A58D85-F278-4B69-B78B-7D7164DC9A9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73902BC2-17DD-4084-905E-2C107B2A8E24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1D151E-48FB-4715-BE18-8AB0E8131234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CE272C-F8E6-411B-B170-E8508E877D5B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535469-AC68-4E3D-8890-117CAE36C11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A6A0582F-6CD1-4CFD-AF6D-BF919A118CB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482E83-F6BA-4EAF-95DC-883C40241F8F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F013C0-6640-4645-B868-F3CD78E2AD24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87465A-6860-4FE8-9065-1BA185C7F2F4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5D994B-68E8-416C-A124-CA61D5D750D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382346-3355-485C-ADBA-7F44CC5F202A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573F7D78-58FB-4196-B22A-F273BEAAD08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CC6875-5CE3-4B5E-BA7F-375D437BD0CA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F258FB-FE20-4EAF-A8FA-435087BE7E9B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8468BC-4DA0-4D61-ACEE-4E52F05295A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CFE9B7-D94B-488D-9E64-A0CECB93FCF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EAFCE3-E1CE-4437-8A51-E79A1CF1ACA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EC4B6043-3FE4-45E2-A843-A7B0695FF04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A5C10-F1BB-42FE-9EF7-5FF8CA99FF17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A0DB95-3C74-4F13-A8DA-1993D6F6914B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45B35F-AA95-464F-B13F-80539B57A9A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A29AEB-7121-47C7-AF7E-E4386324D6EE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C77D74-CFCE-4B19-8AEF-733BB835F82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2D5E5334-DC00-42D3-A9E6-3A8B9FFCD75E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AB74EC-7F88-4282-9974-A670CE5B9C19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D663A0-38DD-472E-AC40-6062EC3076E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AA8574-FB3C-4D24-9AA2-F7C3EB29AF9A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54A7AA-D46A-44DD-BEB4-58226C4B23C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9AE630-912C-4C86-A883-C31DED615AF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41739E9E-3542-40D5-9483-F0663AA7BF4A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B0F437-AD7B-4E53-97BE-B0F0BD777051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1CAAB8-F04C-4AFD-B387-3EAACF10EDE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D4CC17-E515-4F44-AC26-312B36E543E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BDCDFD-5FA0-4852-A5DF-2244491EB19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FE5E63-E3E3-44E1-A074-9D895897DE1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48A74770-217F-488D-8B51-1A5A7EE6007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B457EC-FDD5-4F35-8530-7B31F5E57FE4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3AC6E5-1F37-4A2E-95DF-383C814E1A8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7F3022-D020-4070-9766-89B740DEE4D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33CCB0-F089-4020-ABBF-9A916881F6C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F3C3C0-90AC-4FA2-B73F-7015CE8C788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3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2016-06-18T21:51:36Z</dcterms:created>
  <dc:creator>Alexandra Ragazhinskaya</dc:creator>
  <dc:description/>
  <dc:language>en-GB</dc:language>
  <cp:lastModifiedBy/>
  <dcterms:modified xsi:type="dcterms:W3CDTF">2025-09-04T11:48:20Z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0x01010048845BFA421C6746AE492C336B3A185E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ediaServiceImageTags">
    <vt:lpwstr/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